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MS\CB-0027_USB_Sensor\Documentation\"/>
    </mc:Choice>
  </mc:AlternateContent>
  <bookViews>
    <workbookView xWindow="0" yWindow="75" windowWidth="22980" windowHeight="9525" tabRatio="557"/>
  </bookViews>
  <sheets>
    <sheet name="Sensitivity" sheetId="1" r:id="rId1"/>
    <sheet name="SpectraPLUS Instructions" sheetId="4" r:id="rId2"/>
    <sheet name="SignalScope Pro Instructions" sheetId="2" r:id="rId3"/>
    <sheet name="Revision History" sheetId="3" r:id="rId4"/>
  </sheets>
  <definedNames>
    <definedName name="UpdateArea">Sensitivity!$A$5:$H$30</definedName>
  </definedNames>
  <calcPr calcId="162913"/>
</workbook>
</file>

<file path=xl/calcChain.xml><?xml version="1.0" encoding="utf-8"?>
<calcChain xmlns="http://schemas.openxmlformats.org/spreadsheetml/2006/main">
  <c r="J30" i="1" l="1"/>
  <c r="I30" i="1"/>
  <c r="J29" i="1"/>
  <c r="I29" i="1"/>
  <c r="J28" i="1"/>
  <c r="I28" i="1"/>
  <c r="J27" i="1"/>
  <c r="I27" i="1"/>
  <c r="J26" i="1"/>
  <c r="I26" i="1"/>
  <c r="J25" i="1"/>
  <c r="I25" i="1"/>
  <c r="J24" i="1"/>
  <c r="I24" i="1"/>
  <c r="J23" i="1"/>
  <c r="I23" i="1"/>
  <c r="J22" i="1"/>
  <c r="I22" i="1"/>
  <c r="J21" i="1"/>
  <c r="I21" i="1"/>
  <c r="J20" i="1"/>
  <c r="I20" i="1"/>
  <c r="J19" i="1"/>
  <c r="I19" i="1"/>
  <c r="J18" i="1"/>
  <c r="I18" i="1"/>
  <c r="J17" i="1"/>
  <c r="I17" i="1"/>
  <c r="J16" i="1"/>
  <c r="I16" i="1"/>
  <c r="J15" i="1"/>
  <c r="I15" i="1"/>
  <c r="J14" i="1"/>
  <c r="I14" i="1"/>
  <c r="J13" i="1"/>
  <c r="I13" i="1"/>
  <c r="J12" i="1"/>
  <c r="I12" i="1"/>
  <c r="J11" i="1"/>
  <c r="I11" i="1"/>
  <c r="J10" i="1"/>
  <c r="I10" i="1"/>
  <c r="J9" i="1"/>
  <c r="I9" i="1"/>
  <c r="J8" i="1"/>
  <c r="I8" i="1"/>
  <c r="J7" i="1"/>
  <c r="I7" i="1"/>
  <c r="J6" i="1"/>
  <c r="I6" i="1"/>
  <c r="J5" i="1"/>
  <c r="I5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O30" i="1" l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AC28" i="1"/>
  <c r="AB28" i="1"/>
  <c r="AA28" i="1"/>
  <c r="Z28" i="1"/>
  <c r="Y28" i="1"/>
  <c r="X28" i="1"/>
  <c r="W28" i="1"/>
  <c r="V28" i="1"/>
  <c r="U28" i="1"/>
  <c r="T28" i="1"/>
  <c r="S28" i="1"/>
  <c r="R28" i="1"/>
  <c r="Q28" i="1"/>
  <c r="P28" i="1"/>
  <c r="AC27" i="1"/>
  <c r="AB27" i="1"/>
  <c r="AA27" i="1"/>
  <c r="Z27" i="1"/>
  <c r="Y27" i="1"/>
  <c r="X27" i="1"/>
  <c r="W27" i="1"/>
  <c r="V27" i="1"/>
  <c r="U27" i="1"/>
  <c r="T27" i="1"/>
  <c r="S27" i="1"/>
  <c r="R27" i="1"/>
  <c r="Q27" i="1"/>
  <c r="P27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P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</calcChain>
</file>

<file path=xl/sharedStrings.xml><?xml version="1.0" encoding="utf-8"?>
<sst xmlns="http://schemas.openxmlformats.org/spreadsheetml/2006/main" count="91" uniqueCount="69">
  <si>
    <t>Sensor</t>
  </si>
  <si>
    <t>Serial #</t>
  </si>
  <si>
    <t>Comment</t>
  </si>
  <si>
    <t>Calibration
Date
DD-MMM-YYYY</t>
  </si>
  <si>
    <t>SignalScope Pro Instructions</t>
  </si>
  <si>
    <t>A Faber Acoustical Application</t>
  </si>
  <si>
    <t>Note: The base SignalScope does not support g's as basic type</t>
  </si>
  <si>
    <t>2. Press 'I/O Device Configuration'</t>
  </si>
  <si>
    <t>3.  Select Device Units of 'FS'.  
Note: you can set the sample rate here as well.  
Press 'Input Channels'</t>
  </si>
  <si>
    <t>1. Plug in 333D01 using camera adapter. Start SignalScope Pro and press the gears icon in upper right.</t>
  </si>
  <si>
    <t xml:space="preserve">4. In 'ALL CHANNELS', select units of g
press CH1 Calibrate </t>
  </si>
  <si>
    <t>5. Type in number from Sensitivity page for CH1 (Ch A) into Input Sensitivity</t>
  </si>
  <si>
    <t>Note: dB scale is relative 1 g RMS which is defined in the reference field</t>
  </si>
  <si>
    <t>6. Go back to previous screen and select Ch2.  Repeat process.</t>
  </si>
  <si>
    <t>g/Full Scale
(SignalScope Pro)</t>
  </si>
  <si>
    <t>Chan A (CH1)</t>
  </si>
  <si>
    <t>Chan B (CH2)</t>
  </si>
  <si>
    <r>
      <t>24 Bit Integer Sample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(WaveIn)</t>
    </r>
  </si>
  <si>
    <t>24 Bit Integer Sample (g)
(WaveIn)</t>
  </si>
  <si>
    <t>Scaled Value, -1 to 1, (g)
(Matlab, M+P SmartOffice)</t>
  </si>
  <si>
    <r>
      <t>Scaled Value, -1 to 1,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(Matlab, M+P SmartOffice)</t>
    </r>
  </si>
  <si>
    <t>% Full Scale, (g)
(-100% to 100%)</t>
  </si>
  <si>
    <r>
      <t>% Full Scale, 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
(-100% to 100%)</t>
    </r>
  </si>
  <si>
    <t xml:space="preserve">Scale Factors to convert the specifed input format to engineering units </t>
  </si>
  <si>
    <t>Version</t>
  </si>
  <si>
    <t>Date</t>
  </si>
  <si>
    <t>Who</t>
  </si>
  <si>
    <t>Change</t>
  </si>
  <si>
    <t>RN</t>
  </si>
  <si>
    <t>Initial Release</t>
  </si>
  <si>
    <t>1.00</t>
  </si>
  <si>
    <t>1.01</t>
  </si>
  <si>
    <t>TEC</t>
  </si>
  <si>
    <t>Column J did not include G in the conversion.
Updated SignalScope Pro section to say this is not necessary if you have a current release</t>
  </si>
  <si>
    <t>SignalScope Pro version 4.0 or later automatically reads and uses the programmed sensitivity.  This procedure is not necessary.</t>
  </si>
  <si>
    <t>The upgraded Data Acquistion upgrade to SignalScope version 5.0 or later does not need this procedure.</t>
  </si>
  <si>
    <t>24 Bit Sample (g RMS)
(VibeRMS, VibePro)</t>
  </si>
  <si>
    <t>Add new scale factor for VibeRMS and VibePro</t>
  </si>
  <si>
    <t>Left</t>
  </si>
  <si>
    <t>Right</t>
  </si>
  <si>
    <t>SpectraPLUS-RT and SpectraPLUS-SC
Calibration Tab, Reference 1 g RMS</t>
  </si>
  <si>
    <t>Added calculations for scale factors for Pioneer Hill Software SpectraPLUS-RT and SpectraPLUS-SC</t>
  </si>
  <si>
    <t xml:space="preserve">This should normally not be necessary but we have gotten reports of issues reading the calibration </t>
  </si>
  <si>
    <t>on computers with Asian versions of Windows.</t>
  </si>
  <si>
    <t>1. Press 'I/O' button on main tool bar</t>
  </si>
  <si>
    <t>2. Select 333D01 device from 'Input Device' pull down menu.</t>
  </si>
  <si>
    <t>3. Select the calibration tab</t>
  </si>
  <si>
    <t>5. Confirm 'Reference Signal Parameters' are Level 1.0000, RMS, and Units are Acceleration (G)</t>
  </si>
  <si>
    <t>6. Enter Left and Right 'Measured Levels' from the 'Sensitivity' page of this spreadsheet.</t>
  </si>
  <si>
    <t>4. Normally, you can just press 'Read calibration data from device'.  This will display the sensor serial number and calibration date and set the left and right sensitivity.</t>
  </si>
  <si>
    <t>If that doesn't work, the sensitivity scaling data can be entered manually</t>
  </si>
  <si>
    <t>Model</t>
  </si>
  <si>
    <t>Added support for 333D02, and MB63 - Renamed to Digiducer Calibration Decoder</t>
  </si>
  <si>
    <r>
      <t xml:space="preserve">Press 'Scan' to read calibration information from all 
attached Digiducer sensors. 
</t>
    </r>
    <r>
      <rPr>
        <b/>
        <sz val="10"/>
        <color theme="1"/>
        <rFont val="Calibri"/>
        <family val="2"/>
        <scheme val="minor"/>
      </rPr>
      <t>Requires Macro's to be enabled.</t>
    </r>
  </si>
  <si>
    <r>
      <t>Units
A - 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
V - Vpeak</t>
    </r>
  </si>
  <si>
    <t>Acceleration Unit Conversions</t>
  </si>
  <si>
    <t>Voltage Unit Conversions</t>
  </si>
  <si>
    <t>Channel A/1/Left
Counts / Unit</t>
  </si>
  <si>
    <t>Channel B/2/Right
Counts / Unit</t>
  </si>
  <si>
    <t>V/Full Scale
(SignalScope Pro)</t>
  </si>
  <si>
    <t>Chan A
(1/Left)</t>
  </si>
  <si>
    <t>Chan B
(2/Right)</t>
  </si>
  <si>
    <t>SpectraPLUS-RT and SpectraPLUS-SC
Calibration Tab, Reference 1 V RMS</t>
  </si>
  <si>
    <t>Added support for 485B39 which is an ICPD signal conditioner that outputs volts</t>
  </si>
  <si>
    <t>Added support for 633A01</t>
  </si>
  <si>
    <t>Add support for private label</t>
  </si>
  <si>
    <t>Add support for SDC009, SDC011, 333D03 and 333D04.  Support voltage with a 50mV reference</t>
  </si>
  <si>
    <t>TEC 15-Sep-2022</t>
  </si>
  <si>
    <t>Add support for 333D05 and 333D06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</si>
</sst>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d\-mmm\-yy;@"/>
    <numFmt numFmtId="165" formatCode="0.0000"/>
    <numFmt numFmtId="166" formatCode="0.0000E+00"/>
    <numFmt numFmtId="167" formatCode="0.00000"/>
    <numFmt numFmtId="168" formatCode="0.0000000000000000000"/>
    <numFmt numFmtId="169" formatCode="0.0000000000000"/>
    <numFmt numFmtId="170" formatCode="0.00000000000"/>
    <numFmt numFmtId="171" formatCode="0.000"/>
  </numFmts>
  <fonts count="10" x14ac:knownFonts="1">
    <font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89">
    <xf numFmtId="0" fontId="0" fillId="0" borderId="0" xfId="0"/>
    <xf numFmtId="0" fontId="0" fillId="0" borderId="1" xfId="0" applyBorder="1"/>
    <xf numFmtId="49" fontId="0" fillId="0" borderId="1" xfId="0" applyNumberFormat="1" applyBorder="1"/>
    <xf numFmtId="164" fontId="0" fillId="0" borderId="1" xfId="0" applyNumberFormat="1" applyBorder="1" applyAlignment="1">
      <alignment horizontal="center"/>
    </xf>
    <xf numFmtId="0" fontId="0" fillId="0" borderId="3" xfId="0" applyBorder="1"/>
    <xf numFmtId="49" fontId="0" fillId="0" borderId="3" xfId="0" applyNumberFormat="1" applyBorder="1"/>
    <xf numFmtId="164" fontId="0" fillId="0" borderId="3" xfId="0" applyNumberFormat="1" applyBorder="1" applyAlignment="1">
      <alignment horizontal="center"/>
    </xf>
    <xf numFmtId="0" fontId="0" fillId="0" borderId="0" xfId="0" applyAlignment="1">
      <alignment wrapText="1"/>
    </xf>
    <xf numFmtId="165" fontId="0" fillId="0" borderId="7" xfId="0" applyNumberFormat="1" applyBorder="1"/>
    <xf numFmtId="165" fontId="0" fillId="0" borderId="5" xfId="0" applyNumberFormat="1" applyBorder="1"/>
    <xf numFmtId="0" fontId="0" fillId="0" borderId="10" xfId="0" applyFill="1" applyBorder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65" fontId="0" fillId="0" borderId="15" xfId="0" applyNumberFormat="1" applyBorder="1"/>
    <xf numFmtId="166" fontId="0" fillId="0" borderId="4" xfId="0" applyNumberFormat="1" applyBorder="1"/>
    <xf numFmtId="166" fontId="0" fillId="0" borderId="7" xfId="0" applyNumberFormat="1" applyBorder="1"/>
    <xf numFmtId="166" fontId="0" fillId="0" borderId="2" xfId="0" applyNumberFormat="1" applyBorder="1"/>
    <xf numFmtId="166" fontId="0" fillId="0" borderId="5" xfId="0" applyNumberFormat="1" applyBorder="1"/>
    <xf numFmtId="167" fontId="0" fillId="0" borderId="4" xfId="0" applyNumberFormat="1" applyBorder="1"/>
    <xf numFmtId="167" fontId="0" fillId="0" borderId="7" xfId="0" applyNumberFormat="1" applyBorder="1"/>
    <xf numFmtId="167" fontId="0" fillId="0" borderId="2" xfId="0" applyNumberFormat="1" applyBorder="1"/>
    <xf numFmtId="167" fontId="0" fillId="0" borderId="5" xfId="0" applyNumberFormat="1" applyBorder="1"/>
    <xf numFmtId="2" fontId="0" fillId="0" borderId="0" xfId="0" quotePrefix="1" applyNumberFormat="1" applyAlignment="1">
      <alignment horizontal="right"/>
    </xf>
    <xf numFmtId="0" fontId="0" fillId="0" borderId="0" xfId="0" quotePrefix="1" applyAlignment="1">
      <alignment horizontal="right"/>
    </xf>
    <xf numFmtId="0" fontId="3" fillId="0" borderId="0" xfId="0" applyFont="1" applyAlignment="1">
      <alignment wrapText="1"/>
    </xf>
    <xf numFmtId="165" fontId="0" fillId="0" borderId="19" xfId="0" applyNumberFormat="1" applyBorder="1"/>
    <xf numFmtId="0" fontId="0" fillId="0" borderId="23" xfId="0" applyBorder="1"/>
    <xf numFmtId="170" fontId="0" fillId="0" borderId="22" xfId="0" applyNumberFormat="1" applyBorder="1" applyAlignment="1">
      <alignment wrapText="1"/>
    </xf>
    <xf numFmtId="0" fontId="0" fillId="0" borderId="7" xfId="0" applyBorder="1" applyAlignment="1">
      <alignment wrapText="1"/>
    </xf>
    <xf numFmtId="168" fontId="0" fillId="0" borderId="5" xfId="0" quotePrefix="1" applyNumberFormat="1" applyBorder="1" applyAlignment="1">
      <alignment wrapText="1"/>
    </xf>
    <xf numFmtId="0" fontId="0" fillId="0" borderId="5" xfId="0" quotePrefix="1" applyBorder="1"/>
    <xf numFmtId="169" fontId="0" fillId="0" borderId="5" xfId="0" applyNumberFormat="1" applyBorder="1"/>
    <xf numFmtId="0" fontId="0" fillId="0" borderId="5" xfId="0" applyBorder="1"/>
    <xf numFmtId="165" fontId="0" fillId="0" borderId="29" xfId="0" applyNumberFormat="1" applyBorder="1" applyAlignment="1">
      <alignment wrapText="1"/>
    </xf>
    <xf numFmtId="165" fontId="0" fillId="0" borderId="24" xfId="0" applyNumberFormat="1" applyBorder="1" applyAlignment="1">
      <alignment wrapText="1"/>
    </xf>
    <xf numFmtId="165" fontId="0" fillId="0" borderId="4" xfId="0" quotePrefix="1" applyNumberFormat="1" applyBorder="1" applyAlignment="1">
      <alignment wrapText="1"/>
    </xf>
    <xf numFmtId="165" fontId="0" fillId="0" borderId="24" xfId="0" quotePrefix="1" applyNumberFormat="1" applyBorder="1" applyAlignment="1">
      <alignment wrapText="1"/>
    </xf>
    <xf numFmtId="165" fontId="0" fillId="0" borderId="4" xfId="0" quotePrefix="1" applyNumberFormat="1" applyBorder="1"/>
    <xf numFmtId="165" fontId="0" fillId="0" borderId="24" xfId="0" quotePrefix="1" applyNumberFormat="1" applyBorder="1"/>
    <xf numFmtId="165" fontId="0" fillId="0" borderId="4" xfId="0" applyNumberFormat="1" applyBorder="1"/>
    <xf numFmtId="165" fontId="0" fillId="0" borderId="24" xfId="0" applyNumberFormat="1" applyBorder="1"/>
    <xf numFmtId="165" fontId="0" fillId="0" borderId="2" xfId="0" applyNumberFormat="1" applyBorder="1"/>
    <xf numFmtId="165" fontId="0" fillId="0" borderId="25" xfId="0" applyNumberFormat="1" applyBorder="1"/>
    <xf numFmtId="164" fontId="0" fillId="0" borderId="0" xfId="0" applyNumberFormat="1"/>
    <xf numFmtId="15" fontId="0" fillId="0" borderId="0" xfId="0" applyNumberFormat="1"/>
    <xf numFmtId="0" fontId="0" fillId="0" borderId="30" xfId="0" applyBorder="1"/>
    <xf numFmtId="0" fontId="5" fillId="0" borderId="0" xfId="0" applyFont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4" xfId="0" applyBorder="1" applyAlignment="1">
      <alignment horizontal="center" wrapText="1"/>
    </xf>
    <xf numFmtId="0" fontId="0" fillId="0" borderId="33" xfId="0" applyBorder="1"/>
    <xf numFmtId="0" fontId="8" fillId="0" borderId="0" xfId="0" applyFont="1" applyAlignment="1">
      <alignment horizontal="center"/>
    </xf>
    <xf numFmtId="0" fontId="0" fillId="0" borderId="35" xfId="0" applyBorder="1"/>
    <xf numFmtId="0" fontId="0" fillId="0" borderId="35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37" xfId="0" applyFill="1" applyBorder="1" applyAlignment="1">
      <alignment horizontal="center" vertical="center" wrapText="1"/>
    </xf>
    <xf numFmtId="0" fontId="9" fillId="0" borderId="34" xfId="0" applyFont="1" applyBorder="1" applyAlignment="1">
      <alignment horizontal="left"/>
    </xf>
    <xf numFmtId="171" fontId="0" fillId="0" borderId="8" xfId="0" applyNumberFormat="1" applyBorder="1" applyAlignment="1">
      <alignment wrapText="1"/>
    </xf>
    <xf numFmtId="171" fontId="0" fillId="0" borderId="5" xfId="0" applyNumberFormat="1" applyBorder="1" applyAlignment="1">
      <alignment wrapText="1"/>
    </xf>
    <xf numFmtId="0" fontId="0" fillId="0" borderId="5" xfId="0" applyBorder="1" applyAlignment="1">
      <alignment wrapText="1"/>
    </xf>
    <xf numFmtId="171" fontId="0" fillId="0" borderId="4" xfId="0" applyNumberFormat="1" applyBorder="1" applyAlignment="1">
      <alignment wrapText="1"/>
    </xf>
    <xf numFmtId="0" fontId="0" fillId="0" borderId="4" xfId="0" applyBorder="1" applyAlignment="1">
      <alignment wrapText="1"/>
    </xf>
    <xf numFmtId="165" fontId="0" fillId="0" borderId="8" xfId="1" applyNumberFormat="1" applyFont="1" applyBorder="1" applyAlignment="1">
      <alignment wrapText="1"/>
    </xf>
    <xf numFmtId="165" fontId="0" fillId="0" borderId="40" xfId="1" applyNumberFormat="1" applyFont="1" applyBorder="1" applyAlignment="1">
      <alignment wrapText="1"/>
    </xf>
    <xf numFmtId="0" fontId="0" fillId="0" borderId="30" xfId="0" quotePrefix="1" applyBorder="1"/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5" fillId="0" borderId="0" xfId="0" applyFont="1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36" xfId="0" applyFill="1" applyBorder="1" applyAlignment="1">
      <alignment horizontal="center" vertical="center" wrapText="1"/>
    </xf>
    <xf numFmtId="0" fontId="0" fillId="0" borderId="26" xfId="0" applyFill="1" applyBorder="1" applyAlignment="1">
      <alignment horizontal="center" vertical="center" wrapText="1"/>
    </xf>
    <xf numFmtId="0" fontId="4" fillId="0" borderId="20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0" fillId="0" borderId="38" xfId="0" applyFill="1" applyBorder="1" applyAlignment="1">
      <alignment horizontal="center" vertical="center" wrapText="1"/>
    </xf>
    <xf numFmtId="0" fontId="0" fillId="0" borderId="39" xfId="0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0</xdr:row>
          <xdr:rowOff>209550</xdr:rowOff>
        </xdr:from>
        <xdr:to>
          <xdr:col>1</xdr:col>
          <xdr:colOff>295275</xdr:colOff>
          <xdr:row>1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6</xdr:col>
      <xdr:colOff>68903</xdr:colOff>
      <xdr:row>8</xdr:row>
      <xdr:rowOff>121994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31520"/>
          <a:ext cx="3726503" cy="853514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11</xdr:row>
      <xdr:rowOff>1</xdr:rowOff>
    </xdr:from>
    <xdr:to>
      <xdr:col>9</xdr:col>
      <xdr:colOff>213361</xdr:colOff>
      <xdr:row>27</xdr:row>
      <xdr:rowOff>94995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2011681"/>
          <a:ext cx="5699760" cy="30210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29</xdr:row>
      <xdr:rowOff>0</xdr:rowOff>
    </xdr:from>
    <xdr:to>
      <xdr:col>8</xdr:col>
      <xdr:colOff>541490</xdr:colOff>
      <xdr:row>56</xdr:row>
      <xdr:rowOff>76635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5303520"/>
          <a:ext cx="5418290" cy="50143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573211</xdr:colOff>
      <xdr:row>9</xdr:row>
      <xdr:rowOff>91441</xdr:rowOff>
    </xdr:from>
    <xdr:to>
      <xdr:col>0</xdr:col>
      <xdr:colOff>2805548</xdr:colOff>
      <xdr:row>31</xdr:row>
      <xdr:rowOff>30480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211" y="1005841"/>
          <a:ext cx="2232337" cy="3962399"/>
        </a:xfrm>
        <a:prstGeom prst="rect">
          <a:avLst/>
        </a:prstGeom>
      </xdr:spPr>
    </xdr:pic>
    <xdr:clientData/>
  </xdr:twoCellAnchor>
  <xdr:twoCellAnchor editAs="oneCell">
    <xdr:from>
      <xdr:col>0</xdr:col>
      <xdr:colOff>399670</xdr:colOff>
      <xdr:row>33</xdr:row>
      <xdr:rowOff>45720</xdr:rowOff>
    </xdr:from>
    <xdr:to>
      <xdr:col>0</xdr:col>
      <xdr:colOff>2777968</xdr:colOff>
      <xdr:row>56</xdr:row>
      <xdr:rowOff>60960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9670" y="5349240"/>
          <a:ext cx="2378298" cy="4221480"/>
        </a:xfrm>
        <a:prstGeom prst="rect">
          <a:avLst/>
        </a:prstGeom>
      </xdr:spPr>
    </xdr:pic>
    <xdr:clientData/>
  </xdr:twoCellAnchor>
  <xdr:twoCellAnchor editAs="oneCell">
    <xdr:from>
      <xdr:col>0</xdr:col>
      <xdr:colOff>259082</xdr:colOff>
      <xdr:row>58</xdr:row>
      <xdr:rowOff>15241</xdr:rowOff>
    </xdr:from>
    <xdr:to>
      <xdr:col>0</xdr:col>
      <xdr:colOff>2680310</xdr:colOff>
      <xdr:row>81</xdr:row>
      <xdr:rowOff>106680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59082" y="10256521"/>
          <a:ext cx="2421228" cy="4297679"/>
        </a:xfrm>
        <a:prstGeom prst="rect">
          <a:avLst/>
        </a:prstGeom>
      </xdr:spPr>
    </xdr:pic>
    <xdr:clientData/>
  </xdr:twoCellAnchor>
  <xdr:twoCellAnchor editAs="oneCell">
    <xdr:from>
      <xdr:col>0</xdr:col>
      <xdr:colOff>274322</xdr:colOff>
      <xdr:row>110</xdr:row>
      <xdr:rowOff>137161</xdr:rowOff>
    </xdr:from>
    <xdr:to>
      <xdr:col>0</xdr:col>
      <xdr:colOff>2631156</xdr:colOff>
      <xdr:row>133</xdr:row>
      <xdr:rowOff>114301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74322" y="20071081"/>
          <a:ext cx="2356834" cy="418338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220982</xdr:colOff>
      <xdr:row>83</xdr:row>
      <xdr:rowOff>38101</xdr:rowOff>
    </xdr:from>
    <xdr:to>
      <xdr:col>0</xdr:col>
      <xdr:colOff>2676553</xdr:colOff>
      <xdr:row>107</xdr:row>
      <xdr:rowOff>7621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0982" y="15034261"/>
          <a:ext cx="2455571" cy="43586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401"/>
  <sheetViews>
    <sheetView tabSelected="1" zoomScale="75" zoomScaleNormal="75" workbookViewId="0">
      <pane xSplit="6" ySplit="4" topLeftCell="G5" activePane="bottomRight" state="frozenSplit"/>
      <selection pane="topRight" activeCell="G1" sqref="G1"/>
      <selection pane="bottomLeft" activeCell="A5" sqref="A5"/>
      <selection pane="bottomRight"/>
    </sheetView>
  </sheetViews>
  <sheetFormatPr defaultRowHeight="15" x14ac:dyDescent="0.25"/>
  <cols>
    <col min="1" max="1" width="8.85546875" customWidth="1"/>
    <col min="3" max="3" width="10.7109375" customWidth="1"/>
    <col min="4" max="4" width="15.5703125" customWidth="1"/>
    <col min="5" max="5" width="14" customWidth="1"/>
    <col min="6" max="6" width="13.140625" customWidth="1"/>
    <col min="7" max="7" width="10.5703125" style="51" customWidth="1"/>
    <col min="8" max="8" width="21.7109375" customWidth="1"/>
    <col min="9" max="10" width="15.7109375" customWidth="1"/>
    <col min="11" max="12" width="9.7109375" customWidth="1"/>
    <col min="13" max="13" width="16.7109375" customWidth="1"/>
    <col min="14" max="14" width="16.85546875" customWidth="1"/>
    <col min="15" max="15" width="15.28515625" customWidth="1"/>
    <col min="16" max="16" width="10.7109375" customWidth="1"/>
    <col min="17" max="21" width="11.7109375" customWidth="1"/>
    <col min="22" max="22" width="13.42578125" customWidth="1"/>
    <col min="23" max="23" width="13.140625" customWidth="1"/>
    <col min="24" max="27" width="11.7109375" customWidth="1"/>
    <col min="28" max="28" width="9.7109375" customWidth="1"/>
    <col min="29" max="29" width="10" customWidth="1"/>
  </cols>
  <sheetData>
    <row r="1" spans="1:29" ht="48.6" customHeight="1" thickBot="1" x14ac:dyDescent="0.45">
      <c r="C1" s="75" t="s">
        <v>53</v>
      </c>
      <c r="D1" s="75"/>
      <c r="E1" s="75"/>
      <c r="F1" s="75"/>
      <c r="G1" s="46"/>
      <c r="H1" s="45"/>
      <c r="I1" s="60" t="s">
        <v>56</v>
      </c>
      <c r="J1" s="45"/>
      <c r="L1" s="45"/>
      <c r="M1" s="52"/>
      <c r="N1" s="54" t="s">
        <v>55</v>
      </c>
    </row>
    <row r="2" spans="1:29" ht="30.6" customHeight="1" thickTop="1" thickBot="1" x14ac:dyDescent="0.3">
      <c r="C2" s="68" t="s">
        <v>67</v>
      </c>
      <c r="D2" s="44"/>
      <c r="E2" s="44"/>
      <c r="F2" s="44"/>
      <c r="G2" s="48"/>
      <c r="H2" s="44"/>
      <c r="I2" s="53"/>
      <c r="J2" s="44"/>
      <c r="L2" s="44"/>
      <c r="M2" s="53"/>
      <c r="R2" s="78" t="s">
        <v>23</v>
      </c>
      <c r="S2" s="79"/>
      <c r="T2" s="79"/>
      <c r="U2" s="79"/>
      <c r="V2" s="79"/>
      <c r="W2" s="79"/>
      <c r="X2" s="79"/>
      <c r="Y2" s="79"/>
      <c r="Z2" s="79"/>
      <c r="AA2" s="79"/>
      <c r="AB2" s="79"/>
      <c r="AC2" s="80"/>
    </row>
    <row r="3" spans="1:29" ht="31.15" customHeight="1" thickTop="1" x14ac:dyDescent="0.25">
      <c r="A3" s="69" t="s">
        <v>0</v>
      </c>
      <c r="B3" s="71" t="s">
        <v>51</v>
      </c>
      <c r="C3" s="71" t="s">
        <v>1</v>
      </c>
      <c r="D3" s="73" t="s">
        <v>3</v>
      </c>
      <c r="E3" s="73" t="s">
        <v>57</v>
      </c>
      <c r="F3" s="73" t="s">
        <v>58</v>
      </c>
      <c r="G3" s="73" t="s">
        <v>54</v>
      </c>
      <c r="H3" s="81" t="s">
        <v>2</v>
      </c>
      <c r="I3" s="83" t="s">
        <v>62</v>
      </c>
      <c r="J3" s="84"/>
      <c r="K3" s="87" t="s">
        <v>59</v>
      </c>
      <c r="L3" s="88"/>
      <c r="M3" s="83" t="s">
        <v>40</v>
      </c>
      <c r="N3" s="84"/>
      <c r="O3" s="85" t="s">
        <v>36</v>
      </c>
      <c r="P3" s="76" t="s">
        <v>14</v>
      </c>
      <c r="Q3" s="77"/>
      <c r="R3" s="76" t="s">
        <v>18</v>
      </c>
      <c r="S3" s="77"/>
      <c r="T3" s="76" t="s">
        <v>17</v>
      </c>
      <c r="U3" s="77"/>
      <c r="V3" s="76" t="s">
        <v>19</v>
      </c>
      <c r="W3" s="77"/>
      <c r="X3" s="76" t="s">
        <v>20</v>
      </c>
      <c r="Y3" s="77"/>
      <c r="Z3" s="76" t="s">
        <v>21</v>
      </c>
      <c r="AA3" s="77"/>
      <c r="AB3" s="76" t="s">
        <v>22</v>
      </c>
      <c r="AC3" s="77"/>
    </row>
    <row r="4" spans="1:29" ht="31.15" customHeight="1" thickBot="1" x14ac:dyDescent="0.3">
      <c r="A4" s="70"/>
      <c r="B4" s="72"/>
      <c r="C4" s="72"/>
      <c r="D4" s="74"/>
      <c r="E4" s="74"/>
      <c r="F4" s="74"/>
      <c r="G4" s="74"/>
      <c r="H4" s="82"/>
      <c r="I4" s="59" t="s">
        <v>38</v>
      </c>
      <c r="J4" s="11" t="s">
        <v>39</v>
      </c>
      <c r="K4" s="59" t="s">
        <v>60</v>
      </c>
      <c r="L4" s="47" t="s">
        <v>61</v>
      </c>
      <c r="M4" s="59" t="s">
        <v>38</v>
      </c>
      <c r="N4" s="11" t="s">
        <v>39</v>
      </c>
      <c r="O4" s="86"/>
      <c r="P4" s="10" t="s">
        <v>15</v>
      </c>
      <c r="Q4" s="11" t="s">
        <v>16</v>
      </c>
      <c r="R4" s="10" t="s">
        <v>15</v>
      </c>
      <c r="S4" s="11" t="s">
        <v>16</v>
      </c>
      <c r="T4" s="10" t="s">
        <v>15</v>
      </c>
      <c r="U4" s="11" t="s">
        <v>16</v>
      </c>
      <c r="V4" s="10" t="s">
        <v>15</v>
      </c>
      <c r="W4" s="11" t="s">
        <v>16</v>
      </c>
      <c r="X4" s="10" t="s">
        <v>15</v>
      </c>
      <c r="Y4" s="11" t="s">
        <v>16</v>
      </c>
      <c r="Z4" s="10" t="s">
        <v>15</v>
      </c>
      <c r="AA4" s="11" t="s">
        <v>16</v>
      </c>
      <c r="AB4" s="10" t="s">
        <v>15</v>
      </c>
      <c r="AC4" s="11" t="s">
        <v>16</v>
      </c>
    </row>
    <row r="5" spans="1:29" ht="15.75" thickTop="1" x14ac:dyDescent="0.25">
      <c r="A5" s="4"/>
      <c r="B5" s="4"/>
      <c r="C5" s="5"/>
      <c r="D5" s="6"/>
      <c r="E5" s="4"/>
      <c r="F5" s="4"/>
      <c r="G5" s="49"/>
      <c r="H5" s="27"/>
      <c r="I5" s="67" t="str">
        <f>IF(OR(ISBLANK($A5),NOT($G5="V")),"",(E5/2^23)*SQRT(2)*100)</f>
        <v/>
      </c>
      <c r="J5" s="66" t="str">
        <f>IF(OR(ISBLANK($A5),NOT($G5="V")),"",(F5/2^23)*SQRT(2)*100)</f>
        <v/>
      </c>
      <c r="K5" s="64" t="str">
        <f>IF(OR(ISBLANK($A5),NOT($G5="V")),"",1/(E5/2^23))</f>
        <v/>
      </c>
      <c r="L5" s="61" t="str">
        <f>IF(OR(ISBLANK($A5),NOT($G5="V")),"",1/(F5/2^23))</f>
        <v/>
      </c>
      <c r="M5" s="32" t="str">
        <f>IF(OR(ISBLANK($A5),$G5="V"),"",E5*(9.80665/SQRT(2))/(2^24)*4*100)</f>
        <v/>
      </c>
      <c r="N5" s="33" t="str">
        <f>IF(OR(ISBLANK($A5),$G5="V"),"",F5*(9.80665/SQRT(2))/(2^24)*4*100)</f>
        <v/>
      </c>
      <c r="O5" s="26" t="str">
        <f>IF(OR(ISBLANK($A5),$G5="V"),"",1/(9.80665*$E5*SQRT(2)))</f>
        <v/>
      </c>
      <c r="P5" s="24" t="str">
        <f>IF(OR(ISBLANK($A5),$G5="V"),"",POWER(2,23)/(9.80665*$E5))</f>
        <v/>
      </c>
      <c r="Q5" s="8" t="str">
        <f>IF(OR(ISBLANK($A5),$G5="V"),"",POWER(2,23)/(9.80665*$F5))</f>
        <v/>
      </c>
      <c r="R5" s="13" t="str">
        <f>IF(OR(ISBLANK($A5),$G5="V"),"",1/(9.80665*$E5))</f>
        <v/>
      </c>
      <c r="S5" s="14" t="str">
        <f>IF(OR(ISBLANK($A5),$G5="V"),"",1/(9.80665*$F5))</f>
        <v/>
      </c>
      <c r="T5" s="13" t="str">
        <f>IF(OR(ISBLANK($A5),$G5="V"),"",1/($E5))</f>
        <v/>
      </c>
      <c r="U5" s="14" t="str">
        <f>IF(OR(ISBLANK($A5),$G5="V"),"",1/($F5))</f>
        <v/>
      </c>
      <c r="V5" s="17" t="str">
        <f>IF(OR(ISBLANK($A5),$G5="V"),"",(2^23)/(9.80665*$E5))</f>
        <v/>
      </c>
      <c r="W5" s="18" t="str">
        <f>IF(OR(ISBLANK($A5),$G5="V"),"",(2^23)/(9.80665*$F5))</f>
        <v/>
      </c>
      <c r="X5" s="17" t="str">
        <f>IF(OR(ISBLANK($A5),$G5="V"),"",(2^23)/($E5))</f>
        <v/>
      </c>
      <c r="Y5" s="18" t="str">
        <f>IF(OR(ISBLANK($A5),$G5="V"),"",(2^23)/($F5))</f>
        <v/>
      </c>
      <c r="Z5" s="17" t="str">
        <f>IF(OR(ISBLANK($A5),$G5="V"),"",(2^23)/(100*9.80665*$E5))</f>
        <v/>
      </c>
      <c r="AA5" s="18" t="str">
        <f>IF(OR(ISBLANK($A5),$G5="V"),"",(2^23)/(100*9.80665*$F5))</f>
        <v/>
      </c>
      <c r="AB5" s="17" t="str">
        <f>IF(OR(ISBLANK($A5),$G5="V"),"",(2^23)/(100*$E5))</f>
        <v/>
      </c>
      <c r="AC5" s="18" t="str">
        <f>IF(OR(ISBLANK($A5),$G5="V"),"",(2^23)/(100*$F5))</f>
        <v/>
      </c>
    </row>
    <row r="6" spans="1:29" x14ac:dyDescent="0.25">
      <c r="A6" s="1"/>
      <c r="B6" s="4"/>
      <c r="C6" s="5"/>
      <c r="D6" s="3"/>
      <c r="E6" s="1"/>
      <c r="F6" s="1"/>
      <c r="G6" s="50"/>
      <c r="H6" s="28"/>
      <c r="I6" s="39" t="str">
        <f t="shared" ref="I6:I30" si="0">IF(OR(ISBLANK($A6),NOT($G6="V")),"",(E6/2^23)*SQRT(2)*100)</f>
        <v/>
      </c>
      <c r="J6" s="8" t="str">
        <f t="shared" ref="J6:J30" si="1">IF(OR(ISBLANK($A6),NOT($G6="V")),"",(F6/2^23)*SQRT(2)*100)</f>
        <v/>
      </c>
      <c r="K6" s="64" t="str">
        <f t="shared" ref="K6:K30" si="2">IF(OR(ISBLANK($A6),NOT($G6="V")),"",1/(E6/2^23))</f>
        <v/>
      </c>
      <c r="L6" s="62" t="str">
        <f t="shared" ref="L6:L30" si="3">IF(OR(ISBLANK($A6),NOT($G6="V")),"",1/(F6/2^23))</f>
        <v/>
      </c>
      <c r="M6" s="34" t="str">
        <f t="shared" ref="M6:M30" si="4">IF(OR(ISBLANK($A6),$G6="V"),"",E6*(9.80665/SQRT(2))/(2^24)*4*100)</f>
        <v/>
      </c>
      <c r="N6" s="35" t="str">
        <f t="shared" ref="N6:N30" si="5">IF(OR(ISBLANK($A6),$G6="V"),"",F6*(9.80665/SQRT(2))/(2^24)*4*100)</f>
        <v/>
      </c>
      <c r="O6" s="26" t="str">
        <f t="shared" ref="O6:O30" si="6">IF(OR(ISBLANK($A6),$G6="V"),"",1/(9.80665*$E6*SQRT(2)))</f>
        <v/>
      </c>
      <c r="P6" s="12" t="str">
        <f t="shared" ref="P6:P30" si="7">IF(OR(ISBLANK($A6),$G6="V"),"",POWER(2,23)/(9.80665*$E6))</f>
        <v/>
      </c>
      <c r="Q6" s="9" t="str">
        <f t="shared" ref="Q6:Q30" si="8">IF(OR(ISBLANK($A6),$G6="V"),"",POWER(2,23)/(9.80665*$F6))</f>
        <v/>
      </c>
      <c r="R6" s="15" t="str">
        <f t="shared" ref="R6:R30" si="9">IF(OR(ISBLANK($A6),$G6="V"),"",1/(9.80665*$E6))</f>
        <v/>
      </c>
      <c r="S6" s="16" t="str">
        <f t="shared" ref="S6:S30" si="10">IF(OR(ISBLANK($A6),$G6="V"),"",1/(9.80665*$F6))</f>
        <v/>
      </c>
      <c r="T6" s="15" t="str">
        <f t="shared" ref="T6:T30" si="11">IF(OR(ISBLANK($A6),$G6="V"),"",1/($E6))</f>
        <v/>
      </c>
      <c r="U6" s="16" t="str">
        <f t="shared" ref="U6:U30" si="12">IF(OR(ISBLANK($A6),$G6="V"),"",1/($F6))</f>
        <v/>
      </c>
      <c r="V6" s="19" t="str">
        <f t="shared" ref="V6:V30" si="13">IF(OR(ISBLANK($A6),$G6="V"),"",(2^23)/(9.80665*$E6))</f>
        <v/>
      </c>
      <c r="W6" s="20" t="str">
        <f t="shared" ref="W6:W30" si="14">IF(OR(ISBLANK($A6),$G6="V"),"",(2^23)/(9.80665*$F6))</f>
        <v/>
      </c>
      <c r="X6" s="19" t="str">
        <f t="shared" ref="X6:X30" si="15">IF(OR(ISBLANK($A6),$G6="V"),"",(2^23)/($E6))</f>
        <v/>
      </c>
      <c r="Y6" s="20" t="str">
        <f t="shared" ref="Y6:Y30" si="16">IF(OR(ISBLANK($A6),$G6="V"),"",(2^23)/($F6))</f>
        <v/>
      </c>
      <c r="Z6" s="19" t="str">
        <f t="shared" ref="Z6:Z30" si="17">IF(OR(ISBLANK($A6),$G6="V"),"",(2^23)/(100*9.80665*$E6))</f>
        <v/>
      </c>
      <c r="AA6" s="20" t="str">
        <f t="shared" ref="AA6:AA30" si="18">IF(OR(ISBLANK($A6),$G6="V"),"",(2^23)/(100*9.80665*$F6))</f>
        <v/>
      </c>
      <c r="AB6" s="19" t="str">
        <f t="shared" ref="AB6:AB30" si="19">IF(OR(ISBLANK($A6),$G6="V"),"",(2^23)/(100*$E6))</f>
        <v/>
      </c>
      <c r="AC6" s="20" t="str">
        <f t="shared" ref="AC6:AC30" si="20">IF(OR(ISBLANK($A6),$G6="V"),"",(2^23)/(100*$F6))</f>
        <v/>
      </c>
    </row>
    <row r="7" spans="1:29" x14ac:dyDescent="0.25">
      <c r="A7" s="1"/>
      <c r="B7" s="4"/>
      <c r="C7" s="5"/>
      <c r="D7" s="3"/>
      <c r="E7" s="1"/>
      <c r="F7" s="1"/>
      <c r="G7" s="50"/>
      <c r="H7" s="29"/>
      <c r="I7" s="39" t="str">
        <f t="shared" si="0"/>
        <v/>
      </c>
      <c r="J7" s="8" t="str">
        <f t="shared" si="1"/>
        <v/>
      </c>
      <c r="K7" s="64" t="str">
        <f t="shared" si="2"/>
        <v/>
      </c>
      <c r="L7" s="62" t="str">
        <f t="shared" si="3"/>
        <v/>
      </c>
      <c r="M7" s="36" t="str">
        <f t="shared" si="4"/>
        <v/>
      </c>
      <c r="N7" s="37" t="str">
        <f t="shared" si="5"/>
        <v/>
      </c>
      <c r="O7" s="26" t="str">
        <f t="shared" si="6"/>
        <v/>
      </c>
      <c r="P7" s="12" t="str">
        <f t="shared" si="7"/>
        <v/>
      </c>
      <c r="Q7" s="9" t="str">
        <f t="shared" si="8"/>
        <v/>
      </c>
      <c r="R7" s="15" t="str">
        <f t="shared" si="9"/>
        <v/>
      </c>
      <c r="S7" s="16" t="str">
        <f t="shared" si="10"/>
        <v/>
      </c>
      <c r="T7" s="15" t="str">
        <f t="shared" si="11"/>
        <v/>
      </c>
      <c r="U7" s="16" t="str">
        <f t="shared" si="12"/>
        <v/>
      </c>
      <c r="V7" s="19" t="str">
        <f t="shared" si="13"/>
        <v/>
      </c>
      <c r="W7" s="20" t="str">
        <f t="shared" si="14"/>
        <v/>
      </c>
      <c r="X7" s="19" t="str">
        <f t="shared" si="15"/>
        <v/>
      </c>
      <c r="Y7" s="20" t="str">
        <f t="shared" si="16"/>
        <v/>
      </c>
      <c r="Z7" s="19" t="str">
        <f t="shared" si="17"/>
        <v/>
      </c>
      <c r="AA7" s="20" t="str">
        <f t="shared" si="18"/>
        <v/>
      </c>
      <c r="AB7" s="19" t="str">
        <f t="shared" si="19"/>
        <v/>
      </c>
      <c r="AC7" s="20" t="str">
        <f t="shared" si="20"/>
        <v/>
      </c>
    </row>
    <row r="8" spans="1:29" x14ac:dyDescent="0.25">
      <c r="A8" s="1"/>
      <c r="B8" s="4"/>
      <c r="C8" s="5"/>
      <c r="D8" s="3"/>
      <c r="E8" s="1"/>
      <c r="F8" s="1"/>
      <c r="G8" s="50"/>
      <c r="H8" s="30"/>
      <c r="I8" s="39" t="str">
        <f t="shared" si="0"/>
        <v/>
      </c>
      <c r="J8" s="8" t="str">
        <f t="shared" si="1"/>
        <v/>
      </c>
      <c r="K8" s="64" t="str">
        <f t="shared" si="2"/>
        <v/>
      </c>
      <c r="L8" s="62" t="str">
        <f t="shared" si="3"/>
        <v/>
      </c>
      <c r="M8" s="38" t="str">
        <f t="shared" si="4"/>
        <v/>
      </c>
      <c r="N8" s="39" t="str">
        <f t="shared" si="5"/>
        <v/>
      </c>
      <c r="O8" s="26" t="str">
        <f t="shared" si="6"/>
        <v/>
      </c>
      <c r="P8" s="12" t="str">
        <f t="shared" si="7"/>
        <v/>
      </c>
      <c r="Q8" s="9" t="str">
        <f t="shared" si="8"/>
        <v/>
      </c>
      <c r="R8" s="15" t="str">
        <f t="shared" si="9"/>
        <v/>
      </c>
      <c r="S8" s="16" t="str">
        <f t="shared" si="10"/>
        <v/>
      </c>
      <c r="T8" s="15" t="str">
        <f t="shared" si="11"/>
        <v/>
      </c>
      <c r="U8" s="16" t="str">
        <f t="shared" si="12"/>
        <v/>
      </c>
      <c r="V8" s="19" t="str">
        <f t="shared" si="13"/>
        <v/>
      </c>
      <c r="W8" s="20" t="str">
        <f t="shared" si="14"/>
        <v/>
      </c>
      <c r="X8" s="19" t="str">
        <f t="shared" si="15"/>
        <v/>
      </c>
      <c r="Y8" s="20" t="str">
        <f t="shared" si="16"/>
        <v/>
      </c>
      <c r="Z8" s="19" t="str">
        <f t="shared" si="17"/>
        <v/>
      </c>
      <c r="AA8" s="20" t="str">
        <f t="shared" si="18"/>
        <v/>
      </c>
      <c r="AB8" s="19" t="str">
        <f t="shared" si="19"/>
        <v/>
      </c>
      <c r="AC8" s="20" t="str">
        <f t="shared" si="20"/>
        <v/>
      </c>
    </row>
    <row r="9" spans="1:29" x14ac:dyDescent="0.25">
      <c r="A9" s="1"/>
      <c r="B9" s="1"/>
      <c r="C9" s="2"/>
      <c r="D9" s="3"/>
      <c r="E9" s="1"/>
      <c r="F9" s="1"/>
      <c r="G9" s="50"/>
      <c r="H9" s="31"/>
      <c r="I9" s="39" t="str">
        <f t="shared" si="0"/>
        <v/>
      </c>
      <c r="J9" s="8" t="str">
        <f t="shared" si="1"/>
        <v/>
      </c>
      <c r="K9" s="64" t="str">
        <f t="shared" si="2"/>
        <v/>
      </c>
      <c r="L9" s="62" t="str">
        <f t="shared" si="3"/>
        <v/>
      </c>
      <c r="M9" s="38" t="str">
        <f t="shared" si="4"/>
        <v/>
      </c>
      <c r="N9" s="39" t="str">
        <f t="shared" si="5"/>
        <v/>
      </c>
      <c r="O9" s="26" t="str">
        <f t="shared" si="6"/>
        <v/>
      </c>
      <c r="P9" s="12" t="str">
        <f t="shared" si="7"/>
        <v/>
      </c>
      <c r="Q9" s="9" t="str">
        <f t="shared" si="8"/>
        <v/>
      </c>
      <c r="R9" s="15" t="str">
        <f t="shared" si="9"/>
        <v/>
      </c>
      <c r="S9" s="16" t="str">
        <f t="shared" si="10"/>
        <v/>
      </c>
      <c r="T9" s="15" t="str">
        <f t="shared" si="11"/>
        <v/>
      </c>
      <c r="U9" s="16" t="str">
        <f t="shared" si="12"/>
        <v/>
      </c>
      <c r="V9" s="19" t="str">
        <f t="shared" si="13"/>
        <v/>
      </c>
      <c r="W9" s="20" t="str">
        <f t="shared" si="14"/>
        <v/>
      </c>
      <c r="X9" s="19" t="str">
        <f t="shared" si="15"/>
        <v/>
      </c>
      <c r="Y9" s="20" t="str">
        <f t="shared" si="16"/>
        <v/>
      </c>
      <c r="Z9" s="19" t="str">
        <f t="shared" si="17"/>
        <v/>
      </c>
      <c r="AA9" s="20" t="str">
        <f t="shared" si="18"/>
        <v/>
      </c>
      <c r="AB9" s="19" t="str">
        <f t="shared" si="19"/>
        <v/>
      </c>
      <c r="AC9" s="20" t="str">
        <f t="shared" si="20"/>
        <v/>
      </c>
    </row>
    <row r="10" spans="1:29" x14ac:dyDescent="0.25">
      <c r="A10" s="1"/>
      <c r="B10" s="1"/>
      <c r="C10" s="2"/>
      <c r="D10" s="3"/>
      <c r="E10" s="1"/>
      <c r="F10" s="1"/>
      <c r="G10" s="50"/>
      <c r="H10" s="31"/>
      <c r="I10" s="39" t="str">
        <f t="shared" si="0"/>
        <v/>
      </c>
      <c r="J10" s="8" t="str">
        <f t="shared" si="1"/>
        <v/>
      </c>
      <c r="K10" s="65" t="str">
        <f t="shared" si="2"/>
        <v/>
      </c>
      <c r="L10" s="63" t="str">
        <f t="shared" si="3"/>
        <v/>
      </c>
      <c r="M10" s="38" t="str">
        <f t="shared" si="4"/>
        <v/>
      </c>
      <c r="N10" s="39" t="str">
        <f t="shared" si="5"/>
        <v/>
      </c>
      <c r="O10" s="26" t="str">
        <f t="shared" si="6"/>
        <v/>
      </c>
      <c r="P10" s="12" t="str">
        <f t="shared" si="7"/>
        <v/>
      </c>
      <c r="Q10" s="9" t="str">
        <f t="shared" si="8"/>
        <v/>
      </c>
      <c r="R10" s="15" t="str">
        <f t="shared" si="9"/>
        <v/>
      </c>
      <c r="S10" s="16" t="str">
        <f t="shared" si="10"/>
        <v/>
      </c>
      <c r="T10" s="15" t="str">
        <f t="shared" si="11"/>
        <v/>
      </c>
      <c r="U10" s="16" t="str">
        <f t="shared" si="12"/>
        <v/>
      </c>
      <c r="V10" s="19" t="str">
        <f t="shared" si="13"/>
        <v/>
      </c>
      <c r="W10" s="20" t="str">
        <f t="shared" si="14"/>
        <v/>
      </c>
      <c r="X10" s="19" t="str">
        <f t="shared" si="15"/>
        <v/>
      </c>
      <c r="Y10" s="20" t="str">
        <f t="shared" si="16"/>
        <v/>
      </c>
      <c r="Z10" s="19" t="str">
        <f t="shared" si="17"/>
        <v/>
      </c>
      <c r="AA10" s="20" t="str">
        <f t="shared" si="18"/>
        <v/>
      </c>
      <c r="AB10" s="19" t="str">
        <f t="shared" si="19"/>
        <v/>
      </c>
      <c r="AC10" s="20" t="str">
        <f t="shared" si="20"/>
        <v/>
      </c>
    </row>
    <row r="11" spans="1:29" x14ac:dyDescent="0.25">
      <c r="A11" s="1"/>
      <c r="B11" s="1"/>
      <c r="C11" s="2"/>
      <c r="D11" s="3"/>
      <c r="E11" s="1"/>
      <c r="F11" s="1"/>
      <c r="G11" s="50"/>
      <c r="H11" s="31"/>
      <c r="I11" s="39" t="str">
        <f t="shared" si="0"/>
        <v/>
      </c>
      <c r="J11" s="8" t="str">
        <f t="shared" si="1"/>
        <v/>
      </c>
      <c r="K11" s="65" t="str">
        <f t="shared" si="2"/>
        <v/>
      </c>
      <c r="L11" s="63" t="str">
        <f t="shared" si="3"/>
        <v/>
      </c>
      <c r="M11" s="38" t="str">
        <f t="shared" si="4"/>
        <v/>
      </c>
      <c r="N11" s="39" t="str">
        <f t="shared" si="5"/>
        <v/>
      </c>
      <c r="O11" s="26" t="str">
        <f t="shared" si="6"/>
        <v/>
      </c>
      <c r="P11" s="12" t="str">
        <f t="shared" si="7"/>
        <v/>
      </c>
      <c r="Q11" s="9" t="str">
        <f t="shared" si="8"/>
        <v/>
      </c>
      <c r="R11" s="15" t="str">
        <f t="shared" si="9"/>
        <v/>
      </c>
      <c r="S11" s="16" t="str">
        <f t="shared" si="10"/>
        <v/>
      </c>
      <c r="T11" s="15" t="str">
        <f t="shared" si="11"/>
        <v/>
      </c>
      <c r="U11" s="16" t="str">
        <f t="shared" si="12"/>
        <v/>
      </c>
      <c r="V11" s="19" t="str">
        <f t="shared" si="13"/>
        <v/>
      </c>
      <c r="W11" s="20" t="str">
        <f t="shared" si="14"/>
        <v/>
      </c>
      <c r="X11" s="19" t="str">
        <f t="shared" si="15"/>
        <v/>
      </c>
      <c r="Y11" s="20" t="str">
        <f t="shared" si="16"/>
        <v/>
      </c>
      <c r="Z11" s="19" t="str">
        <f t="shared" si="17"/>
        <v/>
      </c>
      <c r="AA11" s="20" t="str">
        <f t="shared" si="18"/>
        <v/>
      </c>
      <c r="AB11" s="19" t="str">
        <f t="shared" si="19"/>
        <v/>
      </c>
      <c r="AC11" s="20" t="str">
        <f t="shared" si="20"/>
        <v/>
      </c>
    </row>
    <row r="12" spans="1:29" x14ac:dyDescent="0.25">
      <c r="A12" s="1"/>
      <c r="B12" s="1"/>
      <c r="C12" s="2"/>
      <c r="D12" s="3"/>
      <c r="E12" s="1"/>
      <c r="F12" s="1"/>
      <c r="G12" s="50"/>
      <c r="H12" s="31"/>
      <c r="I12" s="39" t="str">
        <f t="shared" si="0"/>
        <v/>
      </c>
      <c r="J12" s="8" t="str">
        <f t="shared" si="1"/>
        <v/>
      </c>
      <c r="K12" s="65" t="str">
        <f t="shared" si="2"/>
        <v/>
      </c>
      <c r="L12" s="63" t="str">
        <f t="shared" si="3"/>
        <v/>
      </c>
      <c r="M12" s="38" t="str">
        <f t="shared" si="4"/>
        <v/>
      </c>
      <c r="N12" s="39" t="str">
        <f t="shared" si="5"/>
        <v/>
      </c>
      <c r="O12" s="26" t="str">
        <f t="shared" si="6"/>
        <v/>
      </c>
      <c r="P12" s="12" t="str">
        <f t="shared" si="7"/>
        <v/>
      </c>
      <c r="Q12" s="9" t="str">
        <f t="shared" si="8"/>
        <v/>
      </c>
      <c r="R12" s="15" t="str">
        <f t="shared" si="9"/>
        <v/>
      </c>
      <c r="S12" s="16" t="str">
        <f t="shared" si="10"/>
        <v/>
      </c>
      <c r="T12" s="15" t="str">
        <f t="shared" si="11"/>
        <v/>
      </c>
      <c r="U12" s="16" t="str">
        <f t="shared" si="12"/>
        <v/>
      </c>
      <c r="V12" s="19" t="str">
        <f t="shared" si="13"/>
        <v/>
      </c>
      <c r="W12" s="20" t="str">
        <f t="shared" si="14"/>
        <v/>
      </c>
      <c r="X12" s="19" t="str">
        <f t="shared" si="15"/>
        <v/>
      </c>
      <c r="Y12" s="20" t="str">
        <f t="shared" si="16"/>
        <v/>
      </c>
      <c r="Z12" s="19" t="str">
        <f t="shared" si="17"/>
        <v/>
      </c>
      <c r="AA12" s="20" t="str">
        <f t="shared" si="18"/>
        <v/>
      </c>
      <c r="AB12" s="19" t="str">
        <f t="shared" si="19"/>
        <v/>
      </c>
      <c r="AC12" s="20" t="str">
        <f t="shared" si="20"/>
        <v/>
      </c>
    </row>
    <row r="13" spans="1:29" x14ac:dyDescent="0.25">
      <c r="A13" s="1"/>
      <c r="B13" s="1"/>
      <c r="C13" s="2"/>
      <c r="D13" s="3"/>
      <c r="E13" s="1"/>
      <c r="F13" s="1"/>
      <c r="G13" s="50"/>
      <c r="H13" s="31"/>
      <c r="I13" s="39" t="str">
        <f t="shared" si="0"/>
        <v/>
      </c>
      <c r="J13" s="8" t="str">
        <f t="shared" si="1"/>
        <v/>
      </c>
      <c r="K13" s="65" t="str">
        <f t="shared" si="2"/>
        <v/>
      </c>
      <c r="L13" s="63" t="str">
        <f t="shared" si="3"/>
        <v/>
      </c>
      <c r="M13" s="38" t="str">
        <f t="shared" si="4"/>
        <v/>
      </c>
      <c r="N13" s="39" t="str">
        <f t="shared" si="5"/>
        <v/>
      </c>
      <c r="O13" s="26" t="str">
        <f t="shared" si="6"/>
        <v/>
      </c>
      <c r="P13" s="12" t="str">
        <f t="shared" si="7"/>
        <v/>
      </c>
      <c r="Q13" s="9" t="str">
        <f t="shared" si="8"/>
        <v/>
      </c>
      <c r="R13" s="15" t="str">
        <f t="shared" si="9"/>
        <v/>
      </c>
      <c r="S13" s="16" t="str">
        <f t="shared" si="10"/>
        <v/>
      </c>
      <c r="T13" s="15" t="str">
        <f t="shared" si="11"/>
        <v/>
      </c>
      <c r="U13" s="16" t="str">
        <f t="shared" si="12"/>
        <v/>
      </c>
      <c r="V13" s="19" t="str">
        <f t="shared" si="13"/>
        <v/>
      </c>
      <c r="W13" s="20" t="str">
        <f t="shared" si="14"/>
        <v/>
      </c>
      <c r="X13" s="19" t="str">
        <f t="shared" si="15"/>
        <v/>
      </c>
      <c r="Y13" s="20" t="str">
        <f t="shared" si="16"/>
        <v/>
      </c>
      <c r="Z13" s="19" t="str">
        <f t="shared" si="17"/>
        <v/>
      </c>
      <c r="AA13" s="20" t="str">
        <f t="shared" si="18"/>
        <v/>
      </c>
      <c r="AB13" s="19" t="str">
        <f t="shared" si="19"/>
        <v/>
      </c>
      <c r="AC13" s="20" t="str">
        <f t="shared" si="20"/>
        <v/>
      </c>
    </row>
    <row r="14" spans="1:29" x14ac:dyDescent="0.25">
      <c r="A14" s="1"/>
      <c r="B14" s="1"/>
      <c r="C14" s="2"/>
      <c r="D14" s="3"/>
      <c r="E14" s="1"/>
      <c r="F14" s="1"/>
      <c r="G14" s="50"/>
      <c r="H14" s="31"/>
      <c r="I14" s="39" t="str">
        <f t="shared" si="0"/>
        <v/>
      </c>
      <c r="J14" s="8" t="str">
        <f t="shared" si="1"/>
        <v/>
      </c>
      <c r="K14" s="65" t="str">
        <f t="shared" si="2"/>
        <v/>
      </c>
      <c r="L14" s="63" t="str">
        <f t="shared" si="3"/>
        <v/>
      </c>
      <c r="M14" s="38" t="str">
        <f t="shared" si="4"/>
        <v/>
      </c>
      <c r="N14" s="39" t="str">
        <f t="shared" si="5"/>
        <v/>
      </c>
      <c r="O14" s="26" t="str">
        <f t="shared" si="6"/>
        <v/>
      </c>
      <c r="P14" s="12" t="str">
        <f t="shared" si="7"/>
        <v/>
      </c>
      <c r="Q14" s="9" t="str">
        <f t="shared" si="8"/>
        <v/>
      </c>
      <c r="R14" s="15" t="str">
        <f t="shared" si="9"/>
        <v/>
      </c>
      <c r="S14" s="16" t="str">
        <f t="shared" si="10"/>
        <v/>
      </c>
      <c r="T14" s="15" t="str">
        <f t="shared" si="11"/>
        <v/>
      </c>
      <c r="U14" s="16" t="str">
        <f t="shared" si="12"/>
        <v/>
      </c>
      <c r="V14" s="19" t="str">
        <f t="shared" si="13"/>
        <v/>
      </c>
      <c r="W14" s="20" t="str">
        <f t="shared" si="14"/>
        <v/>
      </c>
      <c r="X14" s="19" t="str">
        <f t="shared" si="15"/>
        <v/>
      </c>
      <c r="Y14" s="20" t="str">
        <f t="shared" si="16"/>
        <v/>
      </c>
      <c r="Z14" s="19" t="str">
        <f t="shared" si="17"/>
        <v/>
      </c>
      <c r="AA14" s="20" t="str">
        <f t="shared" si="18"/>
        <v/>
      </c>
      <c r="AB14" s="19" t="str">
        <f t="shared" si="19"/>
        <v/>
      </c>
      <c r="AC14" s="20" t="str">
        <f t="shared" si="20"/>
        <v/>
      </c>
    </row>
    <row r="15" spans="1:29" x14ac:dyDescent="0.25">
      <c r="A15" s="1"/>
      <c r="B15" s="1"/>
      <c r="C15" s="2"/>
      <c r="D15" s="3"/>
      <c r="E15" s="1"/>
      <c r="F15" s="1"/>
      <c r="G15" s="50"/>
      <c r="H15" s="31"/>
      <c r="I15" s="39" t="str">
        <f t="shared" si="0"/>
        <v/>
      </c>
      <c r="J15" s="8" t="str">
        <f t="shared" si="1"/>
        <v/>
      </c>
      <c r="K15" s="65" t="str">
        <f t="shared" si="2"/>
        <v/>
      </c>
      <c r="L15" s="63" t="str">
        <f t="shared" si="3"/>
        <v/>
      </c>
      <c r="M15" s="38" t="str">
        <f t="shared" si="4"/>
        <v/>
      </c>
      <c r="N15" s="39" t="str">
        <f t="shared" si="5"/>
        <v/>
      </c>
      <c r="O15" s="26" t="str">
        <f t="shared" si="6"/>
        <v/>
      </c>
      <c r="P15" s="12" t="str">
        <f t="shared" si="7"/>
        <v/>
      </c>
      <c r="Q15" s="9" t="str">
        <f t="shared" si="8"/>
        <v/>
      </c>
      <c r="R15" s="15" t="str">
        <f t="shared" si="9"/>
        <v/>
      </c>
      <c r="S15" s="16" t="str">
        <f t="shared" si="10"/>
        <v/>
      </c>
      <c r="T15" s="15" t="str">
        <f t="shared" si="11"/>
        <v/>
      </c>
      <c r="U15" s="16" t="str">
        <f t="shared" si="12"/>
        <v/>
      </c>
      <c r="V15" s="19" t="str">
        <f t="shared" si="13"/>
        <v/>
      </c>
      <c r="W15" s="20" t="str">
        <f t="shared" si="14"/>
        <v/>
      </c>
      <c r="X15" s="19" t="str">
        <f t="shared" si="15"/>
        <v/>
      </c>
      <c r="Y15" s="20" t="str">
        <f t="shared" si="16"/>
        <v/>
      </c>
      <c r="Z15" s="19" t="str">
        <f t="shared" si="17"/>
        <v/>
      </c>
      <c r="AA15" s="20" t="str">
        <f t="shared" si="18"/>
        <v/>
      </c>
      <c r="AB15" s="19" t="str">
        <f t="shared" si="19"/>
        <v/>
      </c>
      <c r="AC15" s="20" t="str">
        <f t="shared" si="20"/>
        <v/>
      </c>
    </row>
    <row r="16" spans="1:29" x14ac:dyDescent="0.25">
      <c r="A16" s="1"/>
      <c r="B16" s="1"/>
      <c r="C16" s="2"/>
      <c r="D16" s="3"/>
      <c r="E16" s="1"/>
      <c r="F16" s="1"/>
      <c r="G16" s="50"/>
      <c r="H16" s="31"/>
      <c r="I16" s="39" t="str">
        <f t="shared" si="0"/>
        <v/>
      </c>
      <c r="J16" s="8" t="str">
        <f t="shared" si="1"/>
        <v/>
      </c>
      <c r="K16" s="65" t="str">
        <f t="shared" si="2"/>
        <v/>
      </c>
      <c r="L16" s="63" t="str">
        <f t="shared" si="3"/>
        <v/>
      </c>
      <c r="M16" s="38" t="str">
        <f t="shared" si="4"/>
        <v/>
      </c>
      <c r="N16" s="39" t="str">
        <f t="shared" si="5"/>
        <v/>
      </c>
      <c r="O16" s="26" t="str">
        <f t="shared" si="6"/>
        <v/>
      </c>
      <c r="P16" s="12" t="str">
        <f t="shared" si="7"/>
        <v/>
      </c>
      <c r="Q16" s="9" t="str">
        <f t="shared" si="8"/>
        <v/>
      </c>
      <c r="R16" s="15" t="str">
        <f t="shared" si="9"/>
        <v/>
      </c>
      <c r="S16" s="16" t="str">
        <f t="shared" si="10"/>
        <v/>
      </c>
      <c r="T16" s="15" t="str">
        <f t="shared" si="11"/>
        <v/>
      </c>
      <c r="U16" s="16" t="str">
        <f t="shared" si="12"/>
        <v/>
      </c>
      <c r="V16" s="19" t="str">
        <f t="shared" si="13"/>
        <v/>
      </c>
      <c r="W16" s="20" t="str">
        <f t="shared" si="14"/>
        <v/>
      </c>
      <c r="X16" s="19" t="str">
        <f t="shared" si="15"/>
        <v/>
      </c>
      <c r="Y16" s="20" t="str">
        <f t="shared" si="16"/>
        <v/>
      </c>
      <c r="Z16" s="19" t="str">
        <f t="shared" si="17"/>
        <v/>
      </c>
      <c r="AA16" s="20" t="str">
        <f t="shared" si="18"/>
        <v/>
      </c>
      <c r="AB16" s="19" t="str">
        <f t="shared" si="19"/>
        <v/>
      </c>
      <c r="AC16" s="20" t="str">
        <f t="shared" si="20"/>
        <v/>
      </c>
    </row>
    <row r="17" spans="1:29" x14ac:dyDescent="0.25">
      <c r="A17" s="1"/>
      <c r="B17" s="1"/>
      <c r="C17" s="2"/>
      <c r="D17" s="3"/>
      <c r="E17" s="1"/>
      <c r="F17" s="1"/>
      <c r="G17" s="50"/>
      <c r="H17" s="31"/>
      <c r="I17" s="39" t="str">
        <f t="shared" si="0"/>
        <v/>
      </c>
      <c r="J17" s="8" t="str">
        <f t="shared" si="1"/>
        <v/>
      </c>
      <c r="K17" s="65" t="str">
        <f t="shared" si="2"/>
        <v/>
      </c>
      <c r="L17" s="63" t="str">
        <f t="shared" si="3"/>
        <v/>
      </c>
      <c r="M17" s="38" t="str">
        <f t="shared" si="4"/>
        <v/>
      </c>
      <c r="N17" s="39" t="str">
        <f t="shared" si="5"/>
        <v/>
      </c>
      <c r="O17" s="26" t="str">
        <f t="shared" si="6"/>
        <v/>
      </c>
      <c r="P17" s="12" t="str">
        <f t="shared" si="7"/>
        <v/>
      </c>
      <c r="Q17" s="9" t="str">
        <f t="shared" si="8"/>
        <v/>
      </c>
      <c r="R17" s="15" t="str">
        <f t="shared" si="9"/>
        <v/>
      </c>
      <c r="S17" s="16" t="str">
        <f t="shared" si="10"/>
        <v/>
      </c>
      <c r="T17" s="15" t="str">
        <f t="shared" si="11"/>
        <v/>
      </c>
      <c r="U17" s="16" t="str">
        <f t="shared" si="12"/>
        <v/>
      </c>
      <c r="V17" s="19" t="str">
        <f t="shared" si="13"/>
        <v/>
      </c>
      <c r="W17" s="20" t="str">
        <f t="shared" si="14"/>
        <v/>
      </c>
      <c r="X17" s="19" t="str">
        <f t="shared" si="15"/>
        <v/>
      </c>
      <c r="Y17" s="20" t="str">
        <f t="shared" si="16"/>
        <v/>
      </c>
      <c r="Z17" s="19" t="str">
        <f t="shared" si="17"/>
        <v/>
      </c>
      <c r="AA17" s="20" t="str">
        <f t="shared" si="18"/>
        <v/>
      </c>
      <c r="AB17" s="19" t="str">
        <f t="shared" si="19"/>
        <v/>
      </c>
      <c r="AC17" s="20" t="str">
        <f t="shared" si="20"/>
        <v/>
      </c>
    </row>
    <row r="18" spans="1:29" x14ac:dyDescent="0.25">
      <c r="A18" s="1"/>
      <c r="B18" s="1"/>
      <c r="C18" s="2"/>
      <c r="D18" s="3"/>
      <c r="E18" s="1"/>
      <c r="F18" s="1"/>
      <c r="G18" s="50"/>
      <c r="H18" s="31"/>
      <c r="I18" s="39" t="str">
        <f t="shared" si="0"/>
        <v/>
      </c>
      <c r="J18" s="8" t="str">
        <f t="shared" si="1"/>
        <v/>
      </c>
      <c r="K18" s="65" t="str">
        <f t="shared" si="2"/>
        <v/>
      </c>
      <c r="L18" s="63" t="str">
        <f t="shared" si="3"/>
        <v/>
      </c>
      <c r="M18" s="38" t="str">
        <f t="shared" si="4"/>
        <v/>
      </c>
      <c r="N18" s="39" t="str">
        <f t="shared" si="5"/>
        <v/>
      </c>
      <c r="O18" s="26" t="str">
        <f t="shared" si="6"/>
        <v/>
      </c>
      <c r="P18" s="12" t="str">
        <f t="shared" si="7"/>
        <v/>
      </c>
      <c r="Q18" s="9" t="str">
        <f t="shared" si="8"/>
        <v/>
      </c>
      <c r="R18" s="15" t="str">
        <f t="shared" si="9"/>
        <v/>
      </c>
      <c r="S18" s="16" t="str">
        <f t="shared" si="10"/>
        <v/>
      </c>
      <c r="T18" s="15" t="str">
        <f t="shared" si="11"/>
        <v/>
      </c>
      <c r="U18" s="16" t="str">
        <f t="shared" si="12"/>
        <v/>
      </c>
      <c r="V18" s="19" t="str">
        <f t="shared" si="13"/>
        <v/>
      </c>
      <c r="W18" s="20" t="str">
        <f t="shared" si="14"/>
        <v/>
      </c>
      <c r="X18" s="19" t="str">
        <f t="shared" si="15"/>
        <v/>
      </c>
      <c r="Y18" s="20" t="str">
        <f t="shared" si="16"/>
        <v/>
      </c>
      <c r="Z18" s="19" t="str">
        <f t="shared" si="17"/>
        <v/>
      </c>
      <c r="AA18" s="20" t="str">
        <f t="shared" si="18"/>
        <v/>
      </c>
      <c r="AB18" s="19" t="str">
        <f t="shared" si="19"/>
        <v/>
      </c>
      <c r="AC18" s="20" t="str">
        <f t="shared" si="20"/>
        <v/>
      </c>
    </row>
    <row r="19" spans="1:29" x14ac:dyDescent="0.25">
      <c r="A19" s="1"/>
      <c r="B19" s="1"/>
      <c r="C19" s="2"/>
      <c r="D19" s="3"/>
      <c r="E19" s="1"/>
      <c r="F19" s="1"/>
      <c r="G19" s="50"/>
      <c r="H19" s="31"/>
      <c r="I19" s="39" t="str">
        <f t="shared" si="0"/>
        <v/>
      </c>
      <c r="J19" s="8" t="str">
        <f t="shared" si="1"/>
        <v/>
      </c>
      <c r="K19" s="65" t="str">
        <f t="shared" si="2"/>
        <v/>
      </c>
      <c r="L19" s="63" t="str">
        <f t="shared" si="3"/>
        <v/>
      </c>
      <c r="M19" s="38" t="str">
        <f t="shared" si="4"/>
        <v/>
      </c>
      <c r="N19" s="39" t="str">
        <f t="shared" si="5"/>
        <v/>
      </c>
      <c r="O19" s="26" t="str">
        <f t="shared" si="6"/>
        <v/>
      </c>
      <c r="P19" s="12" t="str">
        <f t="shared" si="7"/>
        <v/>
      </c>
      <c r="Q19" s="9" t="str">
        <f t="shared" si="8"/>
        <v/>
      </c>
      <c r="R19" s="15" t="str">
        <f t="shared" si="9"/>
        <v/>
      </c>
      <c r="S19" s="16" t="str">
        <f t="shared" si="10"/>
        <v/>
      </c>
      <c r="T19" s="15" t="str">
        <f t="shared" si="11"/>
        <v/>
      </c>
      <c r="U19" s="16" t="str">
        <f t="shared" si="12"/>
        <v/>
      </c>
      <c r="V19" s="19" t="str">
        <f t="shared" si="13"/>
        <v/>
      </c>
      <c r="W19" s="20" t="str">
        <f t="shared" si="14"/>
        <v/>
      </c>
      <c r="X19" s="19" t="str">
        <f t="shared" si="15"/>
        <v/>
      </c>
      <c r="Y19" s="20" t="str">
        <f t="shared" si="16"/>
        <v/>
      </c>
      <c r="Z19" s="19" t="str">
        <f t="shared" si="17"/>
        <v/>
      </c>
      <c r="AA19" s="20" t="str">
        <f t="shared" si="18"/>
        <v/>
      </c>
      <c r="AB19" s="19" t="str">
        <f t="shared" si="19"/>
        <v/>
      </c>
      <c r="AC19" s="20" t="str">
        <f t="shared" si="20"/>
        <v/>
      </c>
    </row>
    <row r="20" spans="1:29" x14ac:dyDescent="0.25">
      <c r="A20" s="1"/>
      <c r="B20" s="1"/>
      <c r="C20" s="2"/>
      <c r="D20" s="3"/>
      <c r="E20" s="1"/>
      <c r="F20" s="1"/>
      <c r="G20" s="50"/>
      <c r="H20" s="31"/>
      <c r="I20" s="39" t="str">
        <f t="shared" si="0"/>
        <v/>
      </c>
      <c r="J20" s="8" t="str">
        <f t="shared" si="1"/>
        <v/>
      </c>
      <c r="K20" s="65" t="str">
        <f t="shared" si="2"/>
        <v/>
      </c>
      <c r="L20" s="63" t="str">
        <f t="shared" si="3"/>
        <v/>
      </c>
      <c r="M20" s="38" t="str">
        <f t="shared" si="4"/>
        <v/>
      </c>
      <c r="N20" s="39" t="str">
        <f t="shared" si="5"/>
        <v/>
      </c>
      <c r="O20" s="26" t="str">
        <f t="shared" si="6"/>
        <v/>
      </c>
      <c r="P20" s="12" t="str">
        <f t="shared" si="7"/>
        <v/>
      </c>
      <c r="Q20" s="9" t="str">
        <f t="shared" si="8"/>
        <v/>
      </c>
      <c r="R20" s="15" t="str">
        <f t="shared" si="9"/>
        <v/>
      </c>
      <c r="S20" s="16" t="str">
        <f t="shared" si="10"/>
        <v/>
      </c>
      <c r="T20" s="15" t="str">
        <f t="shared" si="11"/>
        <v/>
      </c>
      <c r="U20" s="16" t="str">
        <f t="shared" si="12"/>
        <v/>
      </c>
      <c r="V20" s="19" t="str">
        <f t="shared" si="13"/>
        <v/>
      </c>
      <c r="W20" s="20" t="str">
        <f t="shared" si="14"/>
        <v/>
      </c>
      <c r="X20" s="19" t="str">
        <f t="shared" si="15"/>
        <v/>
      </c>
      <c r="Y20" s="20" t="str">
        <f t="shared" si="16"/>
        <v/>
      </c>
      <c r="Z20" s="19" t="str">
        <f t="shared" si="17"/>
        <v/>
      </c>
      <c r="AA20" s="20" t="str">
        <f t="shared" si="18"/>
        <v/>
      </c>
      <c r="AB20" s="19" t="str">
        <f t="shared" si="19"/>
        <v/>
      </c>
      <c r="AC20" s="20" t="str">
        <f t="shared" si="20"/>
        <v/>
      </c>
    </row>
    <row r="21" spans="1:29" x14ac:dyDescent="0.25">
      <c r="A21" s="1"/>
      <c r="B21" s="1"/>
      <c r="C21" s="2"/>
      <c r="D21" s="3"/>
      <c r="E21" s="1"/>
      <c r="F21" s="1"/>
      <c r="G21" s="50"/>
      <c r="H21" s="31"/>
      <c r="I21" s="39" t="str">
        <f t="shared" si="0"/>
        <v/>
      </c>
      <c r="J21" s="8" t="str">
        <f t="shared" si="1"/>
        <v/>
      </c>
      <c r="K21" s="65" t="str">
        <f t="shared" si="2"/>
        <v/>
      </c>
      <c r="L21" s="63" t="str">
        <f t="shared" si="3"/>
        <v/>
      </c>
      <c r="M21" s="38" t="str">
        <f t="shared" si="4"/>
        <v/>
      </c>
      <c r="N21" s="39" t="str">
        <f t="shared" si="5"/>
        <v/>
      </c>
      <c r="O21" s="26" t="str">
        <f t="shared" si="6"/>
        <v/>
      </c>
      <c r="P21" s="12" t="str">
        <f t="shared" si="7"/>
        <v/>
      </c>
      <c r="Q21" s="9" t="str">
        <f t="shared" si="8"/>
        <v/>
      </c>
      <c r="R21" s="15" t="str">
        <f t="shared" si="9"/>
        <v/>
      </c>
      <c r="S21" s="16" t="str">
        <f t="shared" si="10"/>
        <v/>
      </c>
      <c r="T21" s="15" t="str">
        <f t="shared" si="11"/>
        <v/>
      </c>
      <c r="U21" s="16" t="str">
        <f t="shared" si="12"/>
        <v/>
      </c>
      <c r="V21" s="19" t="str">
        <f t="shared" si="13"/>
        <v/>
      </c>
      <c r="W21" s="20" t="str">
        <f t="shared" si="14"/>
        <v/>
      </c>
      <c r="X21" s="19" t="str">
        <f t="shared" si="15"/>
        <v/>
      </c>
      <c r="Y21" s="20" t="str">
        <f t="shared" si="16"/>
        <v/>
      </c>
      <c r="Z21" s="19" t="str">
        <f t="shared" si="17"/>
        <v/>
      </c>
      <c r="AA21" s="20" t="str">
        <f t="shared" si="18"/>
        <v/>
      </c>
      <c r="AB21" s="19" t="str">
        <f t="shared" si="19"/>
        <v/>
      </c>
      <c r="AC21" s="20" t="str">
        <f t="shared" si="20"/>
        <v/>
      </c>
    </row>
    <row r="22" spans="1:29" x14ac:dyDescent="0.25">
      <c r="A22" s="1"/>
      <c r="B22" s="1"/>
      <c r="C22" s="2"/>
      <c r="D22" s="3"/>
      <c r="E22" s="1"/>
      <c r="F22" s="1"/>
      <c r="G22" s="50"/>
      <c r="H22" s="31"/>
      <c r="I22" s="39" t="str">
        <f t="shared" si="0"/>
        <v/>
      </c>
      <c r="J22" s="8" t="str">
        <f t="shared" si="1"/>
        <v/>
      </c>
      <c r="K22" s="65" t="str">
        <f t="shared" si="2"/>
        <v/>
      </c>
      <c r="L22" s="63" t="str">
        <f t="shared" si="3"/>
        <v/>
      </c>
      <c r="M22" s="38" t="str">
        <f t="shared" si="4"/>
        <v/>
      </c>
      <c r="N22" s="39" t="str">
        <f t="shared" si="5"/>
        <v/>
      </c>
      <c r="O22" s="26" t="str">
        <f t="shared" si="6"/>
        <v/>
      </c>
      <c r="P22" s="12" t="str">
        <f t="shared" si="7"/>
        <v/>
      </c>
      <c r="Q22" s="12" t="str">
        <f t="shared" si="8"/>
        <v/>
      </c>
      <c r="R22" s="15" t="str">
        <f t="shared" si="9"/>
        <v/>
      </c>
      <c r="S22" s="16" t="str">
        <f t="shared" si="10"/>
        <v/>
      </c>
      <c r="T22" s="15" t="str">
        <f t="shared" si="11"/>
        <v/>
      </c>
      <c r="U22" s="16" t="str">
        <f t="shared" si="12"/>
        <v/>
      </c>
      <c r="V22" s="19" t="str">
        <f t="shared" si="13"/>
        <v/>
      </c>
      <c r="W22" s="20" t="str">
        <f t="shared" si="14"/>
        <v/>
      </c>
      <c r="X22" s="19" t="str">
        <f t="shared" si="15"/>
        <v/>
      </c>
      <c r="Y22" s="20" t="str">
        <f t="shared" si="16"/>
        <v/>
      </c>
      <c r="Z22" s="19" t="str">
        <f t="shared" si="17"/>
        <v/>
      </c>
      <c r="AA22" s="20" t="str">
        <f t="shared" si="18"/>
        <v/>
      </c>
      <c r="AB22" s="19" t="str">
        <f t="shared" si="19"/>
        <v/>
      </c>
      <c r="AC22" s="20" t="str">
        <f t="shared" si="20"/>
        <v/>
      </c>
    </row>
    <row r="23" spans="1:29" x14ac:dyDescent="0.25">
      <c r="A23" s="1"/>
      <c r="B23" s="1"/>
      <c r="C23" s="2"/>
      <c r="D23" s="3"/>
      <c r="E23" s="1"/>
      <c r="F23" s="1"/>
      <c r="G23" s="50"/>
      <c r="H23" s="31"/>
      <c r="I23" s="39" t="str">
        <f t="shared" si="0"/>
        <v/>
      </c>
      <c r="J23" s="8" t="str">
        <f t="shared" si="1"/>
        <v/>
      </c>
      <c r="K23" s="65" t="str">
        <f t="shared" si="2"/>
        <v/>
      </c>
      <c r="L23" s="63" t="str">
        <f t="shared" si="3"/>
        <v/>
      </c>
      <c r="M23" s="38" t="str">
        <f t="shared" si="4"/>
        <v/>
      </c>
      <c r="N23" s="39" t="str">
        <f t="shared" si="5"/>
        <v/>
      </c>
      <c r="O23" s="26" t="str">
        <f t="shared" si="6"/>
        <v/>
      </c>
      <c r="P23" s="12" t="str">
        <f t="shared" si="7"/>
        <v/>
      </c>
      <c r="Q23" s="9" t="str">
        <f t="shared" si="8"/>
        <v/>
      </c>
      <c r="R23" s="15" t="str">
        <f t="shared" si="9"/>
        <v/>
      </c>
      <c r="S23" s="16" t="str">
        <f t="shared" si="10"/>
        <v/>
      </c>
      <c r="T23" s="15" t="str">
        <f t="shared" si="11"/>
        <v/>
      </c>
      <c r="U23" s="16" t="str">
        <f t="shared" si="12"/>
        <v/>
      </c>
      <c r="V23" s="19" t="str">
        <f t="shared" si="13"/>
        <v/>
      </c>
      <c r="W23" s="20" t="str">
        <f t="shared" si="14"/>
        <v/>
      </c>
      <c r="X23" s="19" t="str">
        <f t="shared" si="15"/>
        <v/>
      </c>
      <c r="Y23" s="20" t="str">
        <f t="shared" si="16"/>
        <v/>
      </c>
      <c r="Z23" s="19" t="str">
        <f t="shared" si="17"/>
        <v/>
      </c>
      <c r="AA23" s="20" t="str">
        <f t="shared" si="18"/>
        <v/>
      </c>
      <c r="AB23" s="19" t="str">
        <f t="shared" si="19"/>
        <v/>
      </c>
      <c r="AC23" s="20" t="str">
        <f t="shared" si="20"/>
        <v/>
      </c>
    </row>
    <row r="24" spans="1:29" x14ac:dyDescent="0.25">
      <c r="A24" s="1"/>
      <c r="B24" s="1"/>
      <c r="C24" s="2"/>
      <c r="D24" s="3"/>
      <c r="E24" s="1"/>
      <c r="F24" s="1"/>
      <c r="G24" s="50"/>
      <c r="H24" s="31"/>
      <c r="I24" s="39" t="str">
        <f t="shared" si="0"/>
        <v/>
      </c>
      <c r="J24" s="8" t="str">
        <f t="shared" si="1"/>
        <v/>
      </c>
      <c r="K24" s="65" t="str">
        <f t="shared" si="2"/>
        <v/>
      </c>
      <c r="L24" s="63" t="str">
        <f t="shared" si="3"/>
        <v/>
      </c>
      <c r="M24" s="38" t="str">
        <f t="shared" si="4"/>
        <v/>
      </c>
      <c r="N24" s="39" t="str">
        <f t="shared" si="5"/>
        <v/>
      </c>
      <c r="O24" s="26" t="str">
        <f t="shared" si="6"/>
        <v/>
      </c>
      <c r="P24" s="12" t="str">
        <f t="shared" si="7"/>
        <v/>
      </c>
      <c r="Q24" s="9" t="str">
        <f t="shared" si="8"/>
        <v/>
      </c>
      <c r="R24" s="15" t="str">
        <f t="shared" si="9"/>
        <v/>
      </c>
      <c r="S24" s="16" t="str">
        <f t="shared" si="10"/>
        <v/>
      </c>
      <c r="T24" s="15" t="str">
        <f t="shared" si="11"/>
        <v/>
      </c>
      <c r="U24" s="16" t="str">
        <f t="shared" si="12"/>
        <v/>
      </c>
      <c r="V24" s="19" t="str">
        <f t="shared" si="13"/>
        <v/>
      </c>
      <c r="W24" s="20" t="str">
        <f t="shared" si="14"/>
        <v/>
      </c>
      <c r="X24" s="19" t="str">
        <f t="shared" si="15"/>
        <v/>
      </c>
      <c r="Y24" s="20" t="str">
        <f t="shared" si="16"/>
        <v/>
      </c>
      <c r="Z24" s="19" t="str">
        <f t="shared" si="17"/>
        <v/>
      </c>
      <c r="AA24" s="20" t="str">
        <f t="shared" si="18"/>
        <v/>
      </c>
      <c r="AB24" s="19" t="str">
        <f t="shared" si="19"/>
        <v/>
      </c>
      <c r="AC24" s="20" t="str">
        <f t="shared" si="20"/>
        <v/>
      </c>
    </row>
    <row r="25" spans="1:29" x14ac:dyDescent="0.25">
      <c r="A25" s="1"/>
      <c r="B25" s="1"/>
      <c r="C25" s="2"/>
      <c r="D25" s="3"/>
      <c r="E25" s="1"/>
      <c r="F25" s="1"/>
      <c r="G25" s="50"/>
      <c r="H25" s="31"/>
      <c r="I25" s="39" t="str">
        <f t="shared" si="0"/>
        <v/>
      </c>
      <c r="J25" s="8" t="str">
        <f t="shared" si="1"/>
        <v/>
      </c>
      <c r="K25" s="65" t="str">
        <f t="shared" si="2"/>
        <v/>
      </c>
      <c r="L25" s="63" t="str">
        <f t="shared" si="3"/>
        <v/>
      </c>
      <c r="M25" s="38" t="str">
        <f t="shared" si="4"/>
        <v/>
      </c>
      <c r="N25" s="39" t="str">
        <f t="shared" si="5"/>
        <v/>
      </c>
      <c r="O25" s="26" t="str">
        <f t="shared" si="6"/>
        <v/>
      </c>
      <c r="P25" s="12" t="str">
        <f t="shared" si="7"/>
        <v/>
      </c>
      <c r="Q25" s="9" t="str">
        <f t="shared" si="8"/>
        <v/>
      </c>
      <c r="R25" s="15" t="str">
        <f t="shared" si="9"/>
        <v/>
      </c>
      <c r="S25" s="16" t="str">
        <f t="shared" si="10"/>
        <v/>
      </c>
      <c r="T25" s="15" t="str">
        <f t="shared" si="11"/>
        <v/>
      </c>
      <c r="U25" s="16" t="str">
        <f t="shared" si="12"/>
        <v/>
      </c>
      <c r="V25" s="19" t="str">
        <f t="shared" si="13"/>
        <v/>
      </c>
      <c r="W25" s="20" t="str">
        <f t="shared" si="14"/>
        <v/>
      </c>
      <c r="X25" s="19" t="str">
        <f t="shared" si="15"/>
        <v/>
      </c>
      <c r="Y25" s="20" t="str">
        <f t="shared" si="16"/>
        <v/>
      </c>
      <c r="Z25" s="19" t="str">
        <f t="shared" si="17"/>
        <v/>
      </c>
      <c r="AA25" s="20" t="str">
        <f t="shared" si="18"/>
        <v/>
      </c>
      <c r="AB25" s="19" t="str">
        <f t="shared" si="19"/>
        <v/>
      </c>
      <c r="AC25" s="20" t="str">
        <f t="shared" si="20"/>
        <v/>
      </c>
    </row>
    <row r="26" spans="1:29" x14ac:dyDescent="0.25">
      <c r="A26" s="1"/>
      <c r="B26" s="1"/>
      <c r="C26" s="2"/>
      <c r="D26" s="3"/>
      <c r="E26" s="1"/>
      <c r="F26" s="1"/>
      <c r="G26" s="50"/>
      <c r="H26" s="31"/>
      <c r="I26" s="39" t="str">
        <f t="shared" si="0"/>
        <v/>
      </c>
      <c r="J26" s="8" t="str">
        <f t="shared" si="1"/>
        <v/>
      </c>
      <c r="K26" s="65" t="str">
        <f t="shared" si="2"/>
        <v/>
      </c>
      <c r="L26" s="63" t="str">
        <f t="shared" si="3"/>
        <v/>
      </c>
      <c r="M26" s="38" t="str">
        <f t="shared" si="4"/>
        <v/>
      </c>
      <c r="N26" s="39" t="str">
        <f t="shared" si="5"/>
        <v/>
      </c>
      <c r="O26" s="26" t="str">
        <f t="shared" si="6"/>
        <v/>
      </c>
      <c r="P26" s="12" t="str">
        <f t="shared" si="7"/>
        <v/>
      </c>
      <c r="Q26" s="9" t="str">
        <f t="shared" si="8"/>
        <v/>
      </c>
      <c r="R26" s="15" t="str">
        <f t="shared" si="9"/>
        <v/>
      </c>
      <c r="S26" s="16" t="str">
        <f t="shared" si="10"/>
        <v/>
      </c>
      <c r="T26" s="15" t="str">
        <f t="shared" si="11"/>
        <v/>
      </c>
      <c r="U26" s="16" t="str">
        <f t="shared" si="12"/>
        <v/>
      </c>
      <c r="V26" s="19" t="str">
        <f t="shared" si="13"/>
        <v/>
      </c>
      <c r="W26" s="20" t="str">
        <f t="shared" si="14"/>
        <v/>
      </c>
      <c r="X26" s="19" t="str">
        <f t="shared" si="15"/>
        <v/>
      </c>
      <c r="Y26" s="20" t="str">
        <f t="shared" si="16"/>
        <v/>
      </c>
      <c r="Z26" s="19" t="str">
        <f t="shared" si="17"/>
        <v/>
      </c>
      <c r="AA26" s="20" t="str">
        <f t="shared" si="18"/>
        <v/>
      </c>
      <c r="AB26" s="19" t="str">
        <f t="shared" si="19"/>
        <v/>
      </c>
      <c r="AC26" s="20" t="str">
        <f t="shared" si="20"/>
        <v/>
      </c>
    </row>
    <row r="27" spans="1:29" x14ac:dyDescent="0.25">
      <c r="A27" s="1"/>
      <c r="B27" s="1"/>
      <c r="C27" s="2"/>
      <c r="D27" s="1"/>
      <c r="E27" s="1"/>
      <c r="F27" s="1"/>
      <c r="G27" s="50"/>
      <c r="H27" s="31"/>
      <c r="I27" s="39" t="str">
        <f t="shared" si="0"/>
        <v/>
      </c>
      <c r="J27" s="8" t="str">
        <f t="shared" si="1"/>
        <v/>
      </c>
      <c r="K27" s="65" t="str">
        <f t="shared" si="2"/>
        <v/>
      </c>
      <c r="L27" s="63" t="str">
        <f t="shared" si="3"/>
        <v/>
      </c>
      <c r="M27" s="38" t="str">
        <f t="shared" si="4"/>
        <v/>
      </c>
      <c r="N27" s="39" t="str">
        <f t="shared" si="5"/>
        <v/>
      </c>
      <c r="O27" s="26" t="str">
        <f t="shared" si="6"/>
        <v/>
      </c>
      <c r="P27" s="12" t="str">
        <f t="shared" si="7"/>
        <v/>
      </c>
      <c r="Q27" s="9" t="str">
        <f t="shared" si="8"/>
        <v/>
      </c>
      <c r="R27" s="15" t="str">
        <f t="shared" si="9"/>
        <v/>
      </c>
      <c r="S27" s="16" t="str">
        <f t="shared" si="10"/>
        <v/>
      </c>
      <c r="T27" s="15" t="str">
        <f t="shared" si="11"/>
        <v/>
      </c>
      <c r="U27" s="16" t="str">
        <f t="shared" si="12"/>
        <v/>
      </c>
      <c r="V27" s="19" t="str">
        <f t="shared" si="13"/>
        <v/>
      </c>
      <c r="W27" s="20" t="str">
        <f t="shared" si="14"/>
        <v/>
      </c>
      <c r="X27" s="19" t="str">
        <f t="shared" si="15"/>
        <v/>
      </c>
      <c r="Y27" s="20" t="str">
        <f t="shared" si="16"/>
        <v/>
      </c>
      <c r="Z27" s="19" t="str">
        <f t="shared" si="17"/>
        <v/>
      </c>
      <c r="AA27" s="20" t="str">
        <f t="shared" si="18"/>
        <v/>
      </c>
      <c r="AB27" s="19" t="str">
        <f t="shared" si="19"/>
        <v/>
      </c>
      <c r="AC27" s="20" t="str">
        <f t="shared" si="20"/>
        <v/>
      </c>
    </row>
    <row r="28" spans="1:29" x14ac:dyDescent="0.25">
      <c r="A28" s="1"/>
      <c r="B28" s="1"/>
      <c r="C28" s="2"/>
      <c r="D28" s="1"/>
      <c r="E28" s="1"/>
      <c r="F28" s="1"/>
      <c r="G28" s="50"/>
      <c r="H28" s="31"/>
      <c r="I28" s="39" t="str">
        <f t="shared" si="0"/>
        <v/>
      </c>
      <c r="J28" s="8" t="str">
        <f t="shared" si="1"/>
        <v/>
      </c>
      <c r="K28" s="65" t="str">
        <f t="shared" si="2"/>
        <v/>
      </c>
      <c r="L28" s="63" t="str">
        <f t="shared" si="3"/>
        <v/>
      </c>
      <c r="M28" s="38" t="str">
        <f t="shared" si="4"/>
        <v/>
      </c>
      <c r="N28" s="39" t="str">
        <f t="shared" si="5"/>
        <v/>
      </c>
      <c r="O28" s="26" t="str">
        <f t="shared" si="6"/>
        <v/>
      </c>
      <c r="P28" s="12" t="str">
        <f t="shared" si="7"/>
        <v/>
      </c>
      <c r="Q28" s="9" t="str">
        <f t="shared" si="8"/>
        <v/>
      </c>
      <c r="R28" s="15" t="str">
        <f t="shared" si="9"/>
        <v/>
      </c>
      <c r="S28" s="16" t="str">
        <f t="shared" si="10"/>
        <v/>
      </c>
      <c r="T28" s="15" t="str">
        <f t="shared" si="11"/>
        <v/>
      </c>
      <c r="U28" s="16" t="str">
        <f t="shared" si="12"/>
        <v/>
      </c>
      <c r="V28" s="19" t="str">
        <f t="shared" si="13"/>
        <v/>
      </c>
      <c r="W28" s="20" t="str">
        <f t="shared" si="14"/>
        <v/>
      </c>
      <c r="X28" s="19" t="str">
        <f t="shared" si="15"/>
        <v/>
      </c>
      <c r="Y28" s="20" t="str">
        <f t="shared" si="16"/>
        <v/>
      </c>
      <c r="Z28" s="19" t="str">
        <f t="shared" si="17"/>
        <v/>
      </c>
      <c r="AA28" s="20" t="str">
        <f t="shared" si="18"/>
        <v/>
      </c>
      <c r="AB28" s="19" t="str">
        <f t="shared" si="19"/>
        <v/>
      </c>
      <c r="AC28" s="20" t="str">
        <f t="shared" si="20"/>
        <v/>
      </c>
    </row>
    <row r="29" spans="1:29" x14ac:dyDescent="0.25">
      <c r="A29" s="1"/>
      <c r="B29" s="1"/>
      <c r="C29" s="2"/>
      <c r="D29" s="1"/>
      <c r="E29" s="1"/>
      <c r="F29" s="1"/>
      <c r="G29" s="50"/>
      <c r="H29" s="31"/>
      <c r="I29" s="39" t="str">
        <f t="shared" si="0"/>
        <v/>
      </c>
      <c r="J29" s="8" t="str">
        <f t="shared" si="1"/>
        <v/>
      </c>
      <c r="K29" s="65" t="str">
        <f t="shared" si="2"/>
        <v/>
      </c>
      <c r="L29" s="63" t="str">
        <f t="shared" si="3"/>
        <v/>
      </c>
      <c r="M29" s="38" t="str">
        <f t="shared" si="4"/>
        <v/>
      </c>
      <c r="N29" s="39" t="str">
        <f t="shared" si="5"/>
        <v/>
      </c>
      <c r="O29" s="26" t="str">
        <f t="shared" si="6"/>
        <v/>
      </c>
      <c r="P29" s="12" t="str">
        <f t="shared" si="7"/>
        <v/>
      </c>
      <c r="Q29" s="9" t="str">
        <f t="shared" si="8"/>
        <v/>
      </c>
      <c r="R29" s="15" t="str">
        <f t="shared" si="9"/>
        <v/>
      </c>
      <c r="S29" s="16" t="str">
        <f t="shared" si="10"/>
        <v/>
      </c>
      <c r="T29" s="15" t="str">
        <f t="shared" si="11"/>
        <v/>
      </c>
      <c r="U29" s="16" t="str">
        <f t="shared" si="12"/>
        <v/>
      </c>
      <c r="V29" s="19" t="str">
        <f t="shared" si="13"/>
        <v/>
      </c>
      <c r="W29" s="20" t="str">
        <f t="shared" si="14"/>
        <v/>
      </c>
      <c r="X29" s="19" t="str">
        <f t="shared" si="15"/>
        <v/>
      </c>
      <c r="Y29" s="20" t="str">
        <f t="shared" si="16"/>
        <v/>
      </c>
      <c r="Z29" s="19" t="str">
        <f t="shared" si="17"/>
        <v/>
      </c>
      <c r="AA29" s="20" t="str">
        <f t="shared" si="18"/>
        <v/>
      </c>
      <c r="AB29" s="19" t="str">
        <f t="shared" si="19"/>
        <v/>
      </c>
      <c r="AC29" s="20" t="str">
        <f t="shared" si="20"/>
        <v/>
      </c>
    </row>
    <row r="30" spans="1:29" x14ac:dyDescent="0.25">
      <c r="A30" s="1"/>
      <c r="B30" s="1"/>
      <c r="C30" s="2"/>
      <c r="D30" s="1"/>
      <c r="E30" s="1"/>
      <c r="F30" s="1"/>
      <c r="G30" s="50"/>
      <c r="H30" s="31"/>
      <c r="I30" s="39" t="str">
        <f t="shared" si="0"/>
        <v/>
      </c>
      <c r="J30" s="8" t="str">
        <f t="shared" si="1"/>
        <v/>
      </c>
      <c r="K30" s="65" t="str">
        <f t="shared" si="2"/>
        <v/>
      </c>
      <c r="L30" s="63" t="str">
        <f t="shared" si="3"/>
        <v/>
      </c>
      <c r="M30" s="40" t="str">
        <f t="shared" si="4"/>
        <v/>
      </c>
      <c r="N30" s="41" t="str">
        <f t="shared" si="5"/>
        <v/>
      </c>
      <c r="O30" s="25" t="str">
        <f t="shared" si="6"/>
        <v/>
      </c>
      <c r="P30" s="12" t="str">
        <f t="shared" si="7"/>
        <v/>
      </c>
      <c r="Q30" s="9" t="str">
        <f t="shared" si="8"/>
        <v/>
      </c>
      <c r="R30" s="15" t="str">
        <f t="shared" si="9"/>
        <v/>
      </c>
      <c r="S30" s="16" t="str">
        <f t="shared" si="10"/>
        <v/>
      </c>
      <c r="T30" s="15" t="str">
        <f t="shared" si="11"/>
        <v/>
      </c>
      <c r="U30" s="16" t="str">
        <f t="shared" si="12"/>
        <v/>
      </c>
      <c r="V30" s="19" t="str">
        <f t="shared" si="13"/>
        <v/>
      </c>
      <c r="W30" s="20" t="str">
        <f t="shared" si="14"/>
        <v/>
      </c>
      <c r="X30" s="19" t="str">
        <f t="shared" si="15"/>
        <v/>
      </c>
      <c r="Y30" s="20" t="str">
        <f t="shared" si="16"/>
        <v/>
      </c>
      <c r="Z30" s="19" t="str">
        <f t="shared" si="17"/>
        <v/>
      </c>
      <c r="AA30" s="20" t="str">
        <f t="shared" si="18"/>
        <v/>
      </c>
      <c r="AB30" s="19" t="str">
        <f t="shared" si="19"/>
        <v/>
      </c>
      <c r="AC30" s="20" t="str">
        <f t="shared" si="20"/>
        <v/>
      </c>
    </row>
    <row r="31" spans="1:29" x14ac:dyDescent="0.25">
      <c r="F31" s="55"/>
      <c r="G31" s="56"/>
    </row>
    <row r="32" spans="1:29" x14ac:dyDescent="0.25">
      <c r="F32" s="57"/>
      <c r="G32" s="58"/>
    </row>
    <row r="33" spans="6:7" x14ac:dyDescent="0.25">
      <c r="F33" s="57"/>
      <c r="G33" s="58"/>
    </row>
    <row r="34" spans="6:7" x14ac:dyDescent="0.25">
      <c r="F34" s="57"/>
      <c r="G34" s="58"/>
    </row>
    <row r="35" spans="6:7" x14ac:dyDescent="0.25">
      <c r="F35" s="57"/>
      <c r="G35" s="58"/>
    </row>
    <row r="36" spans="6:7" x14ac:dyDescent="0.25">
      <c r="F36" s="57"/>
      <c r="G36" s="58"/>
    </row>
    <row r="37" spans="6:7" x14ac:dyDescent="0.25">
      <c r="F37" s="57"/>
      <c r="G37" s="58"/>
    </row>
    <row r="38" spans="6:7" x14ac:dyDescent="0.25">
      <c r="F38" s="57"/>
      <c r="G38" s="58"/>
    </row>
    <row r="39" spans="6:7" x14ac:dyDescent="0.25">
      <c r="F39" s="57"/>
      <c r="G39" s="58"/>
    </row>
    <row r="40" spans="6:7" x14ac:dyDescent="0.25">
      <c r="F40" s="57"/>
      <c r="G40" s="58"/>
    </row>
    <row r="41" spans="6:7" x14ac:dyDescent="0.25">
      <c r="F41" s="57"/>
      <c r="G41" s="58"/>
    </row>
    <row r="42" spans="6:7" x14ac:dyDescent="0.25">
      <c r="F42" s="57"/>
      <c r="G42" s="58"/>
    </row>
    <row r="43" spans="6:7" x14ac:dyDescent="0.25">
      <c r="F43" s="57"/>
      <c r="G43" s="58"/>
    </row>
    <row r="44" spans="6:7" x14ac:dyDescent="0.25">
      <c r="F44" s="57"/>
      <c r="G44" s="58"/>
    </row>
    <row r="45" spans="6:7" x14ac:dyDescent="0.25">
      <c r="F45" s="57"/>
      <c r="G45" s="58"/>
    </row>
    <row r="46" spans="6:7" x14ac:dyDescent="0.25">
      <c r="F46" s="57"/>
      <c r="G46" s="58"/>
    </row>
    <row r="47" spans="6:7" x14ac:dyDescent="0.25">
      <c r="F47" s="57"/>
      <c r="G47" s="58"/>
    </row>
    <row r="48" spans="6:7" x14ac:dyDescent="0.25">
      <c r="F48" s="57"/>
      <c r="G48" s="58"/>
    </row>
    <row r="49" spans="6:7" x14ac:dyDescent="0.25">
      <c r="F49" s="57"/>
      <c r="G49" s="58"/>
    </row>
    <row r="50" spans="6:7" x14ac:dyDescent="0.25">
      <c r="F50" s="57"/>
      <c r="G50" s="58"/>
    </row>
    <row r="51" spans="6:7" x14ac:dyDescent="0.25">
      <c r="F51" s="57"/>
      <c r="G51" s="58"/>
    </row>
    <row r="52" spans="6:7" x14ac:dyDescent="0.25">
      <c r="F52" s="57"/>
      <c r="G52" s="58"/>
    </row>
    <row r="53" spans="6:7" x14ac:dyDescent="0.25">
      <c r="F53" s="57"/>
      <c r="G53" s="58"/>
    </row>
    <row r="54" spans="6:7" x14ac:dyDescent="0.25">
      <c r="F54" s="57"/>
      <c r="G54" s="58"/>
    </row>
    <row r="55" spans="6:7" x14ac:dyDescent="0.25">
      <c r="F55" s="57"/>
      <c r="G55" s="58"/>
    </row>
    <row r="56" spans="6:7" x14ac:dyDescent="0.25">
      <c r="F56" s="57"/>
      <c r="G56" s="58"/>
    </row>
    <row r="57" spans="6:7" x14ac:dyDescent="0.25">
      <c r="F57" s="57"/>
      <c r="G57" s="58"/>
    </row>
    <row r="58" spans="6:7" x14ac:dyDescent="0.25">
      <c r="F58" s="57"/>
      <c r="G58" s="58"/>
    </row>
    <row r="59" spans="6:7" x14ac:dyDescent="0.25">
      <c r="F59" s="57"/>
      <c r="G59" s="58"/>
    </row>
    <row r="60" spans="6:7" x14ac:dyDescent="0.25">
      <c r="F60" s="57"/>
      <c r="G60" s="58"/>
    </row>
    <row r="61" spans="6:7" x14ac:dyDescent="0.25">
      <c r="F61" s="57"/>
      <c r="G61" s="58"/>
    </row>
    <row r="62" spans="6:7" x14ac:dyDescent="0.25">
      <c r="F62" s="57"/>
      <c r="G62" s="58"/>
    </row>
    <row r="63" spans="6:7" x14ac:dyDescent="0.25">
      <c r="F63" s="57"/>
      <c r="G63" s="58"/>
    </row>
    <row r="64" spans="6:7" x14ac:dyDescent="0.25">
      <c r="F64" s="57"/>
      <c r="G64" s="58"/>
    </row>
    <row r="65" spans="6:7" x14ac:dyDescent="0.25">
      <c r="F65" s="57"/>
      <c r="G65" s="58"/>
    </row>
    <row r="66" spans="6:7" x14ac:dyDescent="0.25">
      <c r="F66" s="57"/>
      <c r="G66" s="58"/>
    </row>
    <row r="67" spans="6:7" x14ac:dyDescent="0.25">
      <c r="F67" s="57"/>
      <c r="G67" s="58"/>
    </row>
    <row r="68" spans="6:7" x14ac:dyDescent="0.25">
      <c r="F68" s="57"/>
      <c r="G68" s="58"/>
    </row>
    <row r="69" spans="6:7" x14ac:dyDescent="0.25">
      <c r="F69" s="57"/>
      <c r="G69" s="58"/>
    </row>
    <row r="70" spans="6:7" x14ac:dyDescent="0.25">
      <c r="F70" s="57"/>
      <c r="G70" s="58"/>
    </row>
    <row r="71" spans="6:7" x14ac:dyDescent="0.25">
      <c r="F71" s="57"/>
      <c r="G71" s="58"/>
    </row>
    <row r="72" spans="6:7" x14ac:dyDescent="0.25">
      <c r="F72" s="57"/>
      <c r="G72" s="58"/>
    </row>
    <row r="73" spans="6:7" x14ac:dyDescent="0.25">
      <c r="F73" s="57"/>
      <c r="G73" s="58"/>
    </row>
    <row r="74" spans="6:7" x14ac:dyDescent="0.25">
      <c r="F74" s="57"/>
      <c r="G74" s="58"/>
    </row>
    <row r="75" spans="6:7" x14ac:dyDescent="0.25">
      <c r="F75" s="57"/>
      <c r="G75" s="58"/>
    </row>
    <row r="76" spans="6:7" x14ac:dyDescent="0.25">
      <c r="F76" s="57"/>
      <c r="G76" s="58"/>
    </row>
    <row r="77" spans="6:7" x14ac:dyDescent="0.25">
      <c r="F77" s="57"/>
      <c r="G77" s="58"/>
    </row>
    <row r="78" spans="6:7" x14ac:dyDescent="0.25">
      <c r="F78" s="57"/>
      <c r="G78" s="58"/>
    </row>
    <row r="79" spans="6:7" x14ac:dyDescent="0.25">
      <c r="F79" s="57"/>
      <c r="G79" s="58"/>
    </row>
    <row r="80" spans="6:7" x14ac:dyDescent="0.25">
      <c r="F80" s="57"/>
      <c r="G80" s="58"/>
    </row>
    <row r="81" spans="6:7" x14ac:dyDescent="0.25">
      <c r="F81" s="57"/>
      <c r="G81" s="58"/>
    </row>
    <row r="82" spans="6:7" x14ac:dyDescent="0.25">
      <c r="F82" s="57"/>
      <c r="G82" s="58"/>
    </row>
    <row r="83" spans="6:7" x14ac:dyDescent="0.25">
      <c r="F83" s="57"/>
      <c r="G83" s="58"/>
    </row>
    <row r="84" spans="6:7" x14ac:dyDescent="0.25">
      <c r="F84" s="57"/>
      <c r="G84" s="58"/>
    </row>
    <row r="85" spans="6:7" x14ac:dyDescent="0.25">
      <c r="F85" s="57"/>
      <c r="G85" s="58"/>
    </row>
    <row r="86" spans="6:7" x14ac:dyDescent="0.25">
      <c r="F86" s="57"/>
      <c r="G86" s="58"/>
    </row>
    <row r="87" spans="6:7" x14ac:dyDescent="0.25">
      <c r="F87" s="57"/>
      <c r="G87" s="58"/>
    </row>
    <row r="88" spans="6:7" x14ac:dyDescent="0.25">
      <c r="F88" s="57"/>
      <c r="G88" s="58"/>
    </row>
    <row r="89" spans="6:7" x14ac:dyDescent="0.25">
      <c r="F89" s="57"/>
      <c r="G89" s="58"/>
    </row>
    <row r="90" spans="6:7" x14ac:dyDescent="0.25">
      <c r="F90" s="57"/>
      <c r="G90" s="58"/>
    </row>
    <row r="91" spans="6:7" x14ac:dyDescent="0.25">
      <c r="F91" s="57"/>
      <c r="G91" s="58"/>
    </row>
    <row r="92" spans="6:7" x14ac:dyDescent="0.25">
      <c r="F92" s="57"/>
      <c r="G92" s="58"/>
    </row>
    <row r="93" spans="6:7" x14ac:dyDescent="0.25">
      <c r="F93" s="57"/>
      <c r="G93" s="58"/>
    </row>
    <row r="94" spans="6:7" x14ac:dyDescent="0.25">
      <c r="F94" s="57"/>
      <c r="G94" s="58"/>
    </row>
    <row r="95" spans="6:7" x14ac:dyDescent="0.25">
      <c r="F95" s="57"/>
      <c r="G95" s="58"/>
    </row>
    <row r="96" spans="6:7" x14ac:dyDescent="0.25">
      <c r="F96" s="57"/>
      <c r="G96" s="58"/>
    </row>
    <row r="97" spans="6:7" x14ac:dyDescent="0.25">
      <c r="F97" s="57"/>
      <c r="G97" s="58"/>
    </row>
    <row r="98" spans="6:7" x14ac:dyDescent="0.25">
      <c r="F98" s="57"/>
      <c r="G98" s="58"/>
    </row>
    <row r="99" spans="6:7" x14ac:dyDescent="0.25">
      <c r="F99" s="57"/>
      <c r="G99" s="58"/>
    </row>
    <row r="100" spans="6:7" x14ac:dyDescent="0.25">
      <c r="F100" s="57"/>
      <c r="G100" s="58"/>
    </row>
    <row r="101" spans="6:7" x14ac:dyDescent="0.25">
      <c r="F101" s="57"/>
      <c r="G101" s="58"/>
    </row>
    <row r="102" spans="6:7" x14ac:dyDescent="0.25">
      <c r="F102" s="57"/>
      <c r="G102" s="58"/>
    </row>
    <row r="103" spans="6:7" x14ac:dyDescent="0.25">
      <c r="F103" s="57"/>
      <c r="G103" s="58"/>
    </row>
    <row r="104" spans="6:7" x14ac:dyDescent="0.25">
      <c r="F104" s="57"/>
      <c r="G104" s="58"/>
    </row>
    <row r="105" spans="6:7" x14ac:dyDescent="0.25">
      <c r="F105" s="57"/>
      <c r="G105" s="58"/>
    </row>
    <row r="106" spans="6:7" x14ac:dyDescent="0.25">
      <c r="F106" s="57"/>
      <c r="G106" s="58"/>
    </row>
    <row r="107" spans="6:7" x14ac:dyDescent="0.25">
      <c r="F107" s="57"/>
      <c r="G107" s="58"/>
    </row>
    <row r="108" spans="6:7" x14ac:dyDescent="0.25">
      <c r="F108" s="57"/>
      <c r="G108" s="58"/>
    </row>
    <row r="109" spans="6:7" x14ac:dyDescent="0.25">
      <c r="F109" s="57"/>
      <c r="G109" s="58"/>
    </row>
    <row r="110" spans="6:7" x14ac:dyDescent="0.25">
      <c r="F110" s="57"/>
      <c r="G110" s="58"/>
    </row>
    <row r="111" spans="6:7" x14ac:dyDescent="0.25">
      <c r="F111" s="57"/>
      <c r="G111" s="58"/>
    </row>
    <row r="112" spans="6:7" x14ac:dyDescent="0.25">
      <c r="F112" s="57"/>
      <c r="G112" s="58"/>
    </row>
    <row r="113" spans="6:7" x14ac:dyDescent="0.25">
      <c r="F113" s="57"/>
      <c r="G113" s="58"/>
    </row>
    <row r="114" spans="6:7" x14ac:dyDescent="0.25">
      <c r="F114" s="57"/>
      <c r="G114" s="58"/>
    </row>
    <row r="115" spans="6:7" x14ac:dyDescent="0.25">
      <c r="F115" s="57"/>
      <c r="G115" s="58"/>
    </row>
    <row r="116" spans="6:7" x14ac:dyDescent="0.25">
      <c r="F116" s="57"/>
      <c r="G116" s="58"/>
    </row>
    <row r="117" spans="6:7" x14ac:dyDescent="0.25">
      <c r="F117" s="57"/>
      <c r="G117" s="58"/>
    </row>
    <row r="118" spans="6:7" x14ac:dyDescent="0.25">
      <c r="F118" s="57"/>
      <c r="G118" s="58"/>
    </row>
    <row r="119" spans="6:7" x14ac:dyDescent="0.25">
      <c r="F119" s="57"/>
      <c r="G119" s="58"/>
    </row>
    <row r="120" spans="6:7" x14ac:dyDescent="0.25">
      <c r="F120" s="57"/>
      <c r="G120" s="58"/>
    </row>
    <row r="121" spans="6:7" x14ac:dyDescent="0.25">
      <c r="F121" s="57"/>
      <c r="G121" s="58"/>
    </row>
    <row r="122" spans="6:7" x14ac:dyDescent="0.25">
      <c r="F122" s="57"/>
      <c r="G122" s="58"/>
    </row>
    <row r="123" spans="6:7" x14ac:dyDescent="0.25">
      <c r="F123" s="57"/>
      <c r="G123" s="58"/>
    </row>
    <row r="124" spans="6:7" x14ac:dyDescent="0.25">
      <c r="F124" s="57"/>
      <c r="G124" s="58"/>
    </row>
    <row r="125" spans="6:7" x14ac:dyDescent="0.25">
      <c r="F125" s="57"/>
      <c r="G125" s="58"/>
    </row>
    <row r="126" spans="6:7" x14ac:dyDescent="0.25">
      <c r="F126" s="57"/>
      <c r="G126" s="58"/>
    </row>
    <row r="127" spans="6:7" x14ac:dyDescent="0.25">
      <c r="F127" s="57"/>
      <c r="G127" s="58"/>
    </row>
    <row r="128" spans="6:7" x14ac:dyDescent="0.25">
      <c r="F128" s="57"/>
      <c r="G128" s="58"/>
    </row>
    <row r="129" spans="6:7" x14ac:dyDescent="0.25">
      <c r="F129" s="57"/>
      <c r="G129" s="58"/>
    </row>
    <row r="130" spans="6:7" x14ac:dyDescent="0.25">
      <c r="F130" s="57"/>
      <c r="G130" s="58"/>
    </row>
    <row r="131" spans="6:7" x14ac:dyDescent="0.25">
      <c r="F131" s="57"/>
      <c r="G131" s="58"/>
    </row>
    <row r="132" spans="6:7" x14ac:dyDescent="0.25">
      <c r="F132" s="57"/>
      <c r="G132" s="58"/>
    </row>
    <row r="133" spans="6:7" x14ac:dyDescent="0.25">
      <c r="F133" s="57"/>
      <c r="G133" s="58"/>
    </row>
    <row r="134" spans="6:7" x14ac:dyDescent="0.25">
      <c r="F134" s="57"/>
      <c r="G134" s="58"/>
    </row>
    <row r="135" spans="6:7" x14ac:dyDescent="0.25">
      <c r="F135" s="57"/>
      <c r="G135" s="58"/>
    </row>
    <row r="136" spans="6:7" x14ac:dyDescent="0.25">
      <c r="F136" s="57"/>
      <c r="G136" s="58"/>
    </row>
    <row r="137" spans="6:7" x14ac:dyDescent="0.25">
      <c r="F137" s="57"/>
      <c r="G137" s="58"/>
    </row>
    <row r="138" spans="6:7" x14ac:dyDescent="0.25">
      <c r="F138" s="57"/>
      <c r="G138" s="58"/>
    </row>
    <row r="139" spans="6:7" x14ac:dyDescent="0.25">
      <c r="F139" s="57"/>
      <c r="G139" s="58"/>
    </row>
    <row r="140" spans="6:7" x14ac:dyDescent="0.25">
      <c r="F140" s="57"/>
      <c r="G140" s="58"/>
    </row>
    <row r="141" spans="6:7" x14ac:dyDescent="0.25">
      <c r="F141" s="57"/>
      <c r="G141" s="58"/>
    </row>
    <row r="142" spans="6:7" x14ac:dyDescent="0.25">
      <c r="F142" s="57"/>
      <c r="G142" s="58"/>
    </row>
    <row r="143" spans="6:7" x14ac:dyDescent="0.25">
      <c r="F143" s="57"/>
      <c r="G143" s="58"/>
    </row>
    <row r="144" spans="6:7" x14ac:dyDescent="0.25">
      <c r="F144" s="57"/>
      <c r="G144" s="58"/>
    </row>
    <row r="145" spans="6:7" x14ac:dyDescent="0.25">
      <c r="F145" s="57"/>
      <c r="G145" s="58"/>
    </row>
    <row r="146" spans="6:7" x14ac:dyDescent="0.25">
      <c r="F146" s="57"/>
      <c r="G146" s="58"/>
    </row>
    <row r="147" spans="6:7" x14ac:dyDescent="0.25">
      <c r="F147" s="57"/>
      <c r="G147" s="58"/>
    </row>
    <row r="148" spans="6:7" x14ac:dyDescent="0.25">
      <c r="F148" s="57"/>
      <c r="G148" s="58"/>
    </row>
    <row r="149" spans="6:7" x14ac:dyDescent="0.25">
      <c r="F149" s="57"/>
      <c r="G149" s="58"/>
    </row>
    <row r="150" spans="6:7" x14ac:dyDescent="0.25">
      <c r="F150" s="57"/>
      <c r="G150" s="58"/>
    </row>
    <row r="151" spans="6:7" x14ac:dyDescent="0.25">
      <c r="F151" s="57"/>
      <c r="G151" s="58"/>
    </row>
    <row r="152" spans="6:7" x14ac:dyDescent="0.25">
      <c r="F152" s="57"/>
      <c r="G152" s="58"/>
    </row>
    <row r="153" spans="6:7" x14ac:dyDescent="0.25">
      <c r="F153" s="57"/>
      <c r="G153" s="58"/>
    </row>
    <row r="154" spans="6:7" x14ac:dyDescent="0.25">
      <c r="F154" s="57"/>
      <c r="G154" s="58"/>
    </row>
    <row r="155" spans="6:7" x14ac:dyDescent="0.25">
      <c r="F155" s="57"/>
      <c r="G155" s="58"/>
    </row>
    <row r="156" spans="6:7" x14ac:dyDescent="0.25">
      <c r="F156" s="57"/>
      <c r="G156" s="58"/>
    </row>
    <row r="157" spans="6:7" x14ac:dyDescent="0.25">
      <c r="F157" s="57"/>
      <c r="G157" s="58"/>
    </row>
    <row r="158" spans="6:7" x14ac:dyDescent="0.25">
      <c r="F158" s="57"/>
      <c r="G158" s="58"/>
    </row>
    <row r="159" spans="6:7" x14ac:dyDescent="0.25">
      <c r="F159" s="57"/>
      <c r="G159" s="58"/>
    </row>
    <row r="160" spans="6:7" x14ac:dyDescent="0.25">
      <c r="F160" s="57"/>
      <c r="G160" s="58"/>
    </row>
    <row r="161" spans="6:7" x14ac:dyDescent="0.25">
      <c r="F161" s="57"/>
      <c r="G161" s="58"/>
    </row>
    <row r="162" spans="6:7" x14ac:dyDescent="0.25">
      <c r="F162" s="57"/>
      <c r="G162" s="58"/>
    </row>
    <row r="163" spans="6:7" x14ac:dyDescent="0.25">
      <c r="F163" s="57"/>
      <c r="G163" s="58"/>
    </row>
    <row r="164" spans="6:7" x14ac:dyDescent="0.25">
      <c r="F164" s="57"/>
      <c r="G164" s="58"/>
    </row>
    <row r="165" spans="6:7" x14ac:dyDescent="0.25">
      <c r="F165" s="57"/>
      <c r="G165" s="58"/>
    </row>
    <row r="166" spans="6:7" x14ac:dyDescent="0.25">
      <c r="F166" s="57"/>
      <c r="G166" s="58"/>
    </row>
    <row r="167" spans="6:7" x14ac:dyDescent="0.25">
      <c r="F167" s="57"/>
      <c r="G167" s="58"/>
    </row>
    <row r="168" spans="6:7" x14ac:dyDescent="0.25">
      <c r="F168" s="57"/>
      <c r="G168" s="58"/>
    </row>
    <row r="169" spans="6:7" x14ac:dyDescent="0.25">
      <c r="F169" s="57"/>
      <c r="G169" s="58"/>
    </row>
    <row r="170" spans="6:7" x14ac:dyDescent="0.25">
      <c r="F170" s="57"/>
      <c r="G170" s="58"/>
    </row>
    <row r="171" spans="6:7" x14ac:dyDescent="0.25">
      <c r="F171" s="57"/>
      <c r="G171" s="58"/>
    </row>
    <row r="172" spans="6:7" x14ac:dyDescent="0.25">
      <c r="F172" s="57"/>
      <c r="G172" s="58"/>
    </row>
    <row r="173" spans="6:7" x14ac:dyDescent="0.25">
      <c r="F173" s="57"/>
      <c r="G173" s="58"/>
    </row>
    <row r="174" spans="6:7" x14ac:dyDescent="0.25">
      <c r="F174" s="57"/>
      <c r="G174" s="58"/>
    </row>
    <row r="175" spans="6:7" x14ac:dyDescent="0.25">
      <c r="F175" s="57"/>
      <c r="G175" s="58"/>
    </row>
    <row r="176" spans="6:7" x14ac:dyDescent="0.25">
      <c r="F176" s="57"/>
      <c r="G176" s="58"/>
    </row>
    <row r="177" spans="6:7" x14ac:dyDescent="0.25">
      <c r="F177" s="57"/>
      <c r="G177" s="58"/>
    </row>
    <row r="178" spans="6:7" x14ac:dyDescent="0.25">
      <c r="F178" s="57"/>
      <c r="G178" s="58"/>
    </row>
    <row r="179" spans="6:7" x14ac:dyDescent="0.25">
      <c r="F179" s="57"/>
      <c r="G179" s="58"/>
    </row>
    <row r="180" spans="6:7" x14ac:dyDescent="0.25">
      <c r="F180" s="57"/>
      <c r="G180" s="58"/>
    </row>
    <row r="181" spans="6:7" x14ac:dyDescent="0.25">
      <c r="F181" s="57"/>
      <c r="G181" s="58"/>
    </row>
    <row r="182" spans="6:7" x14ac:dyDescent="0.25">
      <c r="F182" s="57"/>
      <c r="G182" s="58"/>
    </row>
    <row r="183" spans="6:7" x14ac:dyDescent="0.25">
      <c r="F183" s="57"/>
      <c r="G183" s="58"/>
    </row>
    <row r="184" spans="6:7" x14ac:dyDescent="0.25">
      <c r="F184" s="57"/>
      <c r="G184" s="58"/>
    </row>
    <row r="185" spans="6:7" x14ac:dyDescent="0.25">
      <c r="F185" s="57"/>
      <c r="G185" s="58"/>
    </row>
    <row r="186" spans="6:7" x14ac:dyDescent="0.25">
      <c r="F186" s="57"/>
      <c r="G186" s="58"/>
    </row>
    <row r="187" spans="6:7" x14ac:dyDescent="0.25">
      <c r="F187" s="57"/>
      <c r="G187" s="58"/>
    </row>
    <row r="188" spans="6:7" x14ac:dyDescent="0.25">
      <c r="F188" s="57"/>
      <c r="G188" s="58"/>
    </row>
    <row r="189" spans="6:7" x14ac:dyDescent="0.25">
      <c r="F189" s="57"/>
      <c r="G189" s="58"/>
    </row>
    <row r="190" spans="6:7" x14ac:dyDescent="0.25">
      <c r="F190" s="57"/>
      <c r="G190" s="58"/>
    </row>
    <row r="191" spans="6:7" x14ac:dyDescent="0.25">
      <c r="F191" s="57"/>
      <c r="G191" s="58"/>
    </row>
    <row r="192" spans="6:7" x14ac:dyDescent="0.25">
      <c r="F192" s="57"/>
      <c r="G192" s="58"/>
    </row>
    <row r="193" spans="6:7" x14ac:dyDescent="0.25">
      <c r="F193" s="57"/>
      <c r="G193" s="58"/>
    </row>
    <row r="194" spans="6:7" x14ac:dyDescent="0.25">
      <c r="F194" s="57"/>
      <c r="G194" s="58"/>
    </row>
    <row r="195" spans="6:7" x14ac:dyDescent="0.25">
      <c r="F195" s="57"/>
      <c r="G195" s="58"/>
    </row>
    <row r="196" spans="6:7" x14ac:dyDescent="0.25">
      <c r="F196" s="57"/>
      <c r="G196" s="58"/>
    </row>
    <row r="197" spans="6:7" x14ac:dyDescent="0.25">
      <c r="F197" s="57"/>
      <c r="G197" s="58"/>
    </row>
    <row r="198" spans="6:7" x14ac:dyDescent="0.25">
      <c r="F198" s="57"/>
      <c r="G198" s="58"/>
    </row>
    <row r="199" spans="6:7" x14ac:dyDescent="0.25">
      <c r="F199" s="57"/>
      <c r="G199" s="58"/>
    </row>
    <row r="200" spans="6:7" x14ac:dyDescent="0.25">
      <c r="F200" s="57"/>
      <c r="G200" s="58"/>
    </row>
    <row r="201" spans="6:7" x14ac:dyDescent="0.25">
      <c r="F201" s="57"/>
      <c r="G201" s="58"/>
    </row>
    <row r="202" spans="6:7" x14ac:dyDescent="0.25">
      <c r="F202" s="57"/>
      <c r="G202" s="58"/>
    </row>
    <row r="203" spans="6:7" x14ac:dyDescent="0.25">
      <c r="F203" s="57"/>
      <c r="G203" s="58"/>
    </row>
    <row r="204" spans="6:7" x14ac:dyDescent="0.25">
      <c r="F204" s="57"/>
      <c r="G204" s="58"/>
    </row>
    <row r="205" spans="6:7" x14ac:dyDescent="0.25">
      <c r="F205" s="57"/>
      <c r="G205" s="58"/>
    </row>
    <row r="206" spans="6:7" x14ac:dyDescent="0.25">
      <c r="F206" s="57"/>
      <c r="G206" s="58"/>
    </row>
    <row r="207" spans="6:7" x14ac:dyDescent="0.25">
      <c r="F207" s="57"/>
      <c r="G207" s="58"/>
    </row>
    <row r="208" spans="6:7" x14ac:dyDescent="0.25">
      <c r="F208" s="57"/>
      <c r="G208" s="58"/>
    </row>
    <row r="209" spans="6:7" x14ac:dyDescent="0.25">
      <c r="F209" s="57"/>
      <c r="G209" s="58"/>
    </row>
    <row r="210" spans="6:7" x14ac:dyDescent="0.25">
      <c r="F210" s="57"/>
      <c r="G210" s="58"/>
    </row>
    <row r="211" spans="6:7" x14ac:dyDescent="0.25">
      <c r="F211" s="57"/>
      <c r="G211" s="58"/>
    </row>
    <row r="212" spans="6:7" x14ac:dyDescent="0.25">
      <c r="F212" s="57"/>
      <c r="G212" s="58"/>
    </row>
    <row r="213" spans="6:7" x14ac:dyDescent="0.25">
      <c r="F213" s="57"/>
      <c r="G213" s="58"/>
    </row>
    <row r="214" spans="6:7" x14ac:dyDescent="0.25">
      <c r="F214" s="57"/>
      <c r="G214" s="58"/>
    </row>
    <row r="215" spans="6:7" x14ac:dyDescent="0.25">
      <c r="F215" s="57"/>
      <c r="G215" s="58"/>
    </row>
    <row r="216" spans="6:7" x14ac:dyDescent="0.25">
      <c r="F216" s="57"/>
      <c r="G216" s="58"/>
    </row>
    <row r="217" spans="6:7" x14ac:dyDescent="0.25">
      <c r="F217" s="57"/>
      <c r="G217" s="58"/>
    </row>
    <row r="218" spans="6:7" x14ac:dyDescent="0.25">
      <c r="F218" s="57"/>
      <c r="G218" s="58"/>
    </row>
    <row r="219" spans="6:7" x14ac:dyDescent="0.25">
      <c r="F219" s="57"/>
      <c r="G219" s="58"/>
    </row>
    <row r="220" spans="6:7" x14ac:dyDescent="0.25">
      <c r="F220" s="57"/>
      <c r="G220" s="58"/>
    </row>
    <row r="221" spans="6:7" x14ac:dyDescent="0.25">
      <c r="F221" s="57"/>
      <c r="G221" s="58"/>
    </row>
    <row r="222" spans="6:7" x14ac:dyDescent="0.25">
      <c r="F222" s="57"/>
      <c r="G222" s="58"/>
    </row>
    <row r="223" spans="6:7" x14ac:dyDescent="0.25">
      <c r="F223" s="57"/>
      <c r="G223" s="58"/>
    </row>
    <row r="224" spans="6:7" x14ac:dyDescent="0.25">
      <c r="F224" s="57"/>
      <c r="G224" s="58"/>
    </row>
    <row r="225" spans="6:7" x14ac:dyDescent="0.25">
      <c r="F225" s="57"/>
      <c r="G225" s="58"/>
    </row>
    <row r="226" spans="6:7" x14ac:dyDescent="0.25">
      <c r="F226" s="57"/>
      <c r="G226" s="58"/>
    </row>
    <row r="227" spans="6:7" x14ac:dyDescent="0.25">
      <c r="F227" s="57"/>
      <c r="G227" s="58"/>
    </row>
    <row r="228" spans="6:7" x14ac:dyDescent="0.25">
      <c r="F228" s="57"/>
      <c r="G228" s="58"/>
    </row>
    <row r="229" spans="6:7" x14ac:dyDescent="0.25">
      <c r="F229" s="57"/>
      <c r="G229" s="58"/>
    </row>
    <row r="230" spans="6:7" x14ac:dyDescent="0.25">
      <c r="F230" s="57"/>
      <c r="G230" s="58"/>
    </row>
    <row r="231" spans="6:7" x14ac:dyDescent="0.25">
      <c r="F231" s="57"/>
      <c r="G231" s="58"/>
    </row>
    <row r="232" spans="6:7" x14ac:dyDescent="0.25">
      <c r="F232" s="57"/>
      <c r="G232" s="58"/>
    </row>
    <row r="233" spans="6:7" x14ac:dyDescent="0.25">
      <c r="F233" s="57"/>
      <c r="G233" s="58"/>
    </row>
    <row r="234" spans="6:7" x14ac:dyDescent="0.25">
      <c r="F234" s="57"/>
      <c r="G234" s="58"/>
    </row>
    <row r="235" spans="6:7" x14ac:dyDescent="0.25">
      <c r="F235" s="57"/>
      <c r="G235" s="58"/>
    </row>
    <row r="236" spans="6:7" x14ac:dyDescent="0.25">
      <c r="F236" s="57"/>
      <c r="G236" s="58"/>
    </row>
    <row r="237" spans="6:7" x14ac:dyDescent="0.25">
      <c r="F237" s="57"/>
      <c r="G237" s="58"/>
    </row>
    <row r="238" spans="6:7" x14ac:dyDescent="0.25">
      <c r="F238" s="57"/>
      <c r="G238" s="58"/>
    </row>
    <row r="239" spans="6:7" x14ac:dyDescent="0.25">
      <c r="F239" s="57"/>
      <c r="G239" s="58"/>
    </row>
    <row r="240" spans="6:7" x14ac:dyDescent="0.25">
      <c r="F240" s="57"/>
      <c r="G240" s="58"/>
    </row>
    <row r="241" spans="6:7" x14ac:dyDescent="0.25">
      <c r="F241" s="57"/>
      <c r="G241" s="58"/>
    </row>
    <row r="242" spans="6:7" x14ac:dyDescent="0.25">
      <c r="F242" s="57"/>
      <c r="G242" s="58"/>
    </row>
    <row r="243" spans="6:7" x14ac:dyDescent="0.25">
      <c r="F243" s="57"/>
      <c r="G243" s="58"/>
    </row>
    <row r="244" spans="6:7" x14ac:dyDescent="0.25">
      <c r="F244" s="57"/>
      <c r="G244" s="58"/>
    </row>
    <row r="245" spans="6:7" x14ac:dyDescent="0.25">
      <c r="F245" s="57"/>
      <c r="G245" s="58"/>
    </row>
    <row r="246" spans="6:7" x14ac:dyDescent="0.25">
      <c r="F246" s="57"/>
      <c r="G246" s="58"/>
    </row>
    <row r="247" spans="6:7" x14ac:dyDescent="0.25">
      <c r="F247" s="57"/>
      <c r="G247" s="58"/>
    </row>
    <row r="248" spans="6:7" x14ac:dyDescent="0.25">
      <c r="F248" s="57"/>
      <c r="G248" s="58"/>
    </row>
    <row r="249" spans="6:7" x14ac:dyDescent="0.25">
      <c r="F249" s="57"/>
      <c r="G249" s="58"/>
    </row>
    <row r="250" spans="6:7" x14ac:dyDescent="0.25">
      <c r="F250" s="57"/>
      <c r="G250" s="58"/>
    </row>
    <row r="251" spans="6:7" x14ac:dyDescent="0.25">
      <c r="F251" s="57"/>
      <c r="G251" s="58"/>
    </row>
    <row r="252" spans="6:7" x14ac:dyDescent="0.25">
      <c r="F252" s="57"/>
      <c r="G252" s="58"/>
    </row>
    <row r="253" spans="6:7" x14ac:dyDescent="0.25">
      <c r="F253" s="57"/>
      <c r="G253" s="58"/>
    </row>
    <row r="254" spans="6:7" x14ac:dyDescent="0.25">
      <c r="F254" s="57"/>
      <c r="G254" s="58"/>
    </row>
    <row r="255" spans="6:7" x14ac:dyDescent="0.25">
      <c r="F255" s="57"/>
      <c r="G255" s="58"/>
    </row>
    <row r="256" spans="6:7" x14ac:dyDescent="0.25">
      <c r="F256" s="57"/>
      <c r="G256" s="58"/>
    </row>
    <row r="257" spans="6:7" x14ac:dyDescent="0.25">
      <c r="F257" s="57"/>
      <c r="G257" s="58"/>
    </row>
    <row r="258" spans="6:7" x14ac:dyDescent="0.25">
      <c r="F258" s="57"/>
      <c r="G258" s="58"/>
    </row>
    <row r="259" spans="6:7" x14ac:dyDescent="0.25">
      <c r="F259" s="57"/>
      <c r="G259" s="58"/>
    </row>
    <row r="260" spans="6:7" x14ac:dyDescent="0.25">
      <c r="F260" s="57"/>
      <c r="G260" s="58"/>
    </row>
    <row r="261" spans="6:7" x14ac:dyDescent="0.25">
      <c r="F261" s="57"/>
      <c r="G261" s="58"/>
    </row>
    <row r="262" spans="6:7" x14ac:dyDescent="0.25">
      <c r="F262" s="57"/>
      <c r="G262" s="58"/>
    </row>
    <row r="263" spans="6:7" x14ac:dyDescent="0.25">
      <c r="F263" s="57"/>
      <c r="G263" s="58"/>
    </row>
    <row r="264" spans="6:7" x14ac:dyDescent="0.25">
      <c r="F264" s="57"/>
      <c r="G264" s="58"/>
    </row>
    <row r="265" spans="6:7" x14ac:dyDescent="0.25">
      <c r="F265" s="57"/>
      <c r="G265" s="58"/>
    </row>
    <row r="266" spans="6:7" x14ac:dyDescent="0.25">
      <c r="F266" s="57"/>
      <c r="G266" s="58"/>
    </row>
    <row r="267" spans="6:7" x14ac:dyDescent="0.25">
      <c r="F267" s="57"/>
      <c r="G267" s="58"/>
    </row>
    <row r="268" spans="6:7" x14ac:dyDescent="0.25">
      <c r="F268" s="57"/>
      <c r="G268" s="58"/>
    </row>
    <row r="269" spans="6:7" x14ac:dyDescent="0.25">
      <c r="F269" s="57"/>
      <c r="G269" s="58"/>
    </row>
    <row r="270" spans="6:7" x14ac:dyDescent="0.25">
      <c r="F270" s="57"/>
      <c r="G270" s="58"/>
    </row>
    <row r="271" spans="6:7" x14ac:dyDescent="0.25">
      <c r="F271" s="57"/>
      <c r="G271" s="58"/>
    </row>
    <row r="272" spans="6:7" x14ac:dyDescent="0.25">
      <c r="F272" s="57"/>
      <c r="G272" s="58"/>
    </row>
    <row r="273" spans="6:7" x14ac:dyDescent="0.25">
      <c r="F273" s="57"/>
      <c r="G273" s="58"/>
    </row>
    <row r="274" spans="6:7" x14ac:dyDescent="0.25">
      <c r="F274" s="57"/>
      <c r="G274" s="58"/>
    </row>
    <row r="275" spans="6:7" x14ac:dyDescent="0.25">
      <c r="F275" s="57"/>
      <c r="G275" s="58"/>
    </row>
    <row r="276" spans="6:7" x14ac:dyDescent="0.25">
      <c r="F276" s="57"/>
      <c r="G276" s="58"/>
    </row>
    <row r="277" spans="6:7" x14ac:dyDescent="0.25">
      <c r="F277" s="57"/>
      <c r="G277" s="58"/>
    </row>
    <row r="278" spans="6:7" x14ac:dyDescent="0.25">
      <c r="F278" s="57"/>
      <c r="G278" s="58"/>
    </row>
    <row r="279" spans="6:7" x14ac:dyDescent="0.25">
      <c r="F279" s="57"/>
      <c r="G279" s="58"/>
    </row>
    <row r="280" spans="6:7" x14ac:dyDescent="0.25">
      <c r="F280" s="57"/>
      <c r="G280" s="58"/>
    </row>
    <row r="281" spans="6:7" x14ac:dyDescent="0.25">
      <c r="F281" s="57"/>
      <c r="G281" s="58"/>
    </row>
    <row r="282" spans="6:7" x14ac:dyDescent="0.25">
      <c r="F282" s="57"/>
      <c r="G282" s="58"/>
    </row>
    <row r="283" spans="6:7" x14ac:dyDescent="0.25">
      <c r="F283" s="57"/>
      <c r="G283" s="58"/>
    </row>
    <row r="284" spans="6:7" x14ac:dyDescent="0.25">
      <c r="F284" s="57"/>
      <c r="G284" s="58"/>
    </row>
    <row r="285" spans="6:7" x14ac:dyDescent="0.25">
      <c r="F285" s="57"/>
      <c r="G285" s="58"/>
    </row>
    <row r="286" spans="6:7" x14ac:dyDescent="0.25">
      <c r="F286" s="57"/>
      <c r="G286" s="58"/>
    </row>
    <row r="287" spans="6:7" x14ac:dyDescent="0.25">
      <c r="F287" s="57"/>
      <c r="G287" s="58"/>
    </row>
    <row r="288" spans="6:7" x14ac:dyDescent="0.25">
      <c r="F288" s="57"/>
      <c r="G288" s="58"/>
    </row>
    <row r="289" spans="6:7" x14ac:dyDescent="0.25">
      <c r="F289" s="57"/>
      <c r="G289" s="58"/>
    </row>
    <row r="290" spans="6:7" x14ac:dyDescent="0.25">
      <c r="F290" s="57"/>
      <c r="G290" s="58"/>
    </row>
    <row r="291" spans="6:7" x14ac:dyDescent="0.25">
      <c r="F291" s="57"/>
      <c r="G291" s="58"/>
    </row>
    <row r="292" spans="6:7" x14ac:dyDescent="0.25">
      <c r="F292" s="57"/>
      <c r="G292" s="58"/>
    </row>
    <row r="293" spans="6:7" x14ac:dyDescent="0.25">
      <c r="F293" s="57"/>
      <c r="G293" s="58"/>
    </row>
    <row r="294" spans="6:7" x14ac:dyDescent="0.25">
      <c r="F294" s="57"/>
      <c r="G294" s="58"/>
    </row>
    <row r="295" spans="6:7" x14ac:dyDescent="0.25">
      <c r="F295" s="57"/>
      <c r="G295" s="58"/>
    </row>
    <row r="296" spans="6:7" x14ac:dyDescent="0.25">
      <c r="F296" s="57"/>
      <c r="G296" s="58"/>
    </row>
    <row r="297" spans="6:7" x14ac:dyDescent="0.25">
      <c r="F297" s="57"/>
      <c r="G297" s="58"/>
    </row>
    <row r="298" spans="6:7" x14ac:dyDescent="0.25">
      <c r="F298" s="57"/>
      <c r="G298" s="58"/>
    </row>
    <row r="299" spans="6:7" x14ac:dyDescent="0.25">
      <c r="F299" s="57"/>
      <c r="G299" s="58"/>
    </row>
    <row r="300" spans="6:7" x14ac:dyDescent="0.25">
      <c r="F300" s="57"/>
      <c r="G300" s="58"/>
    </row>
    <row r="301" spans="6:7" x14ac:dyDescent="0.25">
      <c r="F301" s="57"/>
      <c r="G301" s="58"/>
    </row>
    <row r="302" spans="6:7" x14ac:dyDescent="0.25">
      <c r="F302" s="57"/>
      <c r="G302" s="58"/>
    </row>
    <row r="303" spans="6:7" x14ac:dyDescent="0.25">
      <c r="F303" s="57"/>
      <c r="G303" s="58"/>
    </row>
    <row r="304" spans="6:7" x14ac:dyDescent="0.25">
      <c r="F304" s="57"/>
      <c r="G304" s="58"/>
    </row>
    <row r="305" spans="6:7" x14ac:dyDescent="0.25">
      <c r="F305" s="57"/>
      <c r="G305" s="58"/>
    </row>
    <row r="306" spans="6:7" x14ac:dyDescent="0.25">
      <c r="F306" s="57"/>
      <c r="G306" s="58"/>
    </row>
    <row r="307" spans="6:7" x14ac:dyDescent="0.25">
      <c r="F307" s="57"/>
      <c r="G307" s="58"/>
    </row>
    <row r="308" spans="6:7" x14ac:dyDescent="0.25">
      <c r="F308" s="57"/>
      <c r="G308" s="58"/>
    </row>
    <row r="309" spans="6:7" x14ac:dyDescent="0.25">
      <c r="F309" s="57"/>
      <c r="G309" s="58"/>
    </row>
    <row r="310" spans="6:7" x14ac:dyDescent="0.25">
      <c r="F310" s="57"/>
      <c r="G310" s="58"/>
    </row>
    <row r="311" spans="6:7" x14ac:dyDescent="0.25">
      <c r="F311" s="57"/>
      <c r="G311" s="58"/>
    </row>
    <row r="312" spans="6:7" x14ac:dyDescent="0.25">
      <c r="F312" s="57"/>
      <c r="G312" s="58"/>
    </row>
    <row r="313" spans="6:7" x14ac:dyDescent="0.25">
      <c r="F313" s="57"/>
      <c r="G313" s="58"/>
    </row>
    <row r="314" spans="6:7" x14ac:dyDescent="0.25">
      <c r="F314" s="57"/>
      <c r="G314" s="58"/>
    </row>
    <row r="315" spans="6:7" x14ac:dyDescent="0.25">
      <c r="F315" s="57"/>
      <c r="G315" s="58"/>
    </row>
    <row r="316" spans="6:7" x14ac:dyDescent="0.25">
      <c r="F316" s="57"/>
      <c r="G316" s="58"/>
    </row>
    <row r="317" spans="6:7" x14ac:dyDescent="0.25">
      <c r="F317" s="57"/>
      <c r="G317" s="58"/>
    </row>
    <row r="318" spans="6:7" x14ac:dyDescent="0.25">
      <c r="F318" s="57"/>
      <c r="G318" s="58"/>
    </row>
    <row r="319" spans="6:7" x14ac:dyDescent="0.25">
      <c r="F319" s="57"/>
      <c r="G319" s="58"/>
    </row>
    <row r="320" spans="6:7" x14ac:dyDescent="0.25">
      <c r="F320" s="57"/>
      <c r="G320" s="58"/>
    </row>
    <row r="321" spans="6:7" x14ac:dyDescent="0.25">
      <c r="F321" s="57"/>
      <c r="G321" s="58"/>
    </row>
    <row r="322" spans="6:7" x14ac:dyDescent="0.25">
      <c r="F322" s="57"/>
      <c r="G322" s="58"/>
    </row>
    <row r="323" spans="6:7" x14ac:dyDescent="0.25">
      <c r="F323" s="57"/>
      <c r="G323" s="58"/>
    </row>
    <row r="324" spans="6:7" x14ac:dyDescent="0.25">
      <c r="F324" s="57"/>
      <c r="G324" s="58"/>
    </row>
    <row r="325" spans="6:7" x14ac:dyDescent="0.25">
      <c r="F325" s="57"/>
      <c r="G325" s="58"/>
    </row>
    <row r="326" spans="6:7" x14ac:dyDescent="0.25">
      <c r="F326" s="57"/>
      <c r="G326" s="58"/>
    </row>
    <row r="327" spans="6:7" x14ac:dyDescent="0.25">
      <c r="F327" s="57"/>
      <c r="G327" s="58"/>
    </row>
    <row r="328" spans="6:7" x14ac:dyDescent="0.25">
      <c r="F328" s="57"/>
      <c r="G328" s="58"/>
    </row>
    <row r="329" spans="6:7" x14ac:dyDescent="0.25">
      <c r="F329" s="57"/>
      <c r="G329" s="58"/>
    </row>
    <row r="330" spans="6:7" x14ac:dyDescent="0.25">
      <c r="F330" s="57"/>
      <c r="G330" s="58"/>
    </row>
    <row r="331" spans="6:7" x14ac:dyDescent="0.25">
      <c r="F331" s="57"/>
      <c r="G331" s="58"/>
    </row>
    <row r="332" spans="6:7" x14ac:dyDescent="0.25">
      <c r="F332" s="57"/>
      <c r="G332" s="58"/>
    </row>
    <row r="333" spans="6:7" x14ac:dyDescent="0.25">
      <c r="F333" s="57"/>
      <c r="G333" s="58"/>
    </row>
    <row r="334" spans="6:7" x14ac:dyDescent="0.25">
      <c r="F334" s="57"/>
      <c r="G334" s="58"/>
    </row>
    <row r="335" spans="6:7" x14ac:dyDescent="0.25">
      <c r="F335" s="57"/>
      <c r="G335" s="58"/>
    </row>
    <row r="336" spans="6:7" x14ac:dyDescent="0.25">
      <c r="F336" s="57"/>
      <c r="G336" s="58"/>
    </row>
    <row r="337" spans="6:7" x14ac:dyDescent="0.25">
      <c r="F337" s="57"/>
      <c r="G337" s="58"/>
    </row>
    <row r="338" spans="6:7" x14ac:dyDescent="0.25">
      <c r="F338" s="57"/>
      <c r="G338" s="58"/>
    </row>
    <row r="339" spans="6:7" x14ac:dyDescent="0.25">
      <c r="F339" s="57"/>
      <c r="G339" s="58"/>
    </row>
    <row r="340" spans="6:7" x14ac:dyDescent="0.25">
      <c r="F340" s="57"/>
      <c r="G340" s="58"/>
    </row>
    <row r="341" spans="6:7" x14ac:dyDescent="0.25">
      <c r="F341" s="57"/>
      <c r="G341" s="58"/>
    </row>
    <row r="342" spans="6:7" x14ac:dyDescent="0.25">
      <c r="F342" s="57"/>
      <c r="G342" s="58"/>
    </row>
    <row r="343" spans="6:7" x14ac:dyDescent="0.25">
      <c r="F343" s="57"/>
      <c r="G343" s="58"/>
    </row>
    <row r="344" spans="6:7" x14ac:dyDescent="0.25">
      <c r="F344" s="57"/>
      <c r="G344" s="58"/>
    </row>
    <row r="345" spans="6:7" x14ac:dyDescent="0.25">
      <c r="F345" s="57"/>
      <c r="G345" s="58"/>
    </row>
    <row r="346" spans="6:7" x14ac:dyDescent="0.25">
      <c r="F346" s="57"/>
      <c r="G346" s="58"/>
    </row>
    <row r="347" spans="6:7" x14ac:dyDescent="0.25">
      <c r="F347" s="57"/>
      <c r="G347" s="58"/>
    </row>
    <row r="348" spans="6:7" x14ac:dyDescent="0.25">
      <c r="F348" s="57"/>
      <c r="G348" s="58"/>
    </row>
    <row r="349" spans="6:7" x14ac:dyDescent="0.25">
      <c r="F349" s="57"/>
      <c r="G349" s="58"/>
    </row>
    <row r="350" spans="6:7" x14ac:dyDescent="0.25">
      <c r="F350" s="57"/>
      <c r="G350" s="58"/>
    </row>
    <row r="351" spans="6:7" x14ac:dyDescent="0.25">
      <c r="F351" s="57"/>
      <c r="G351" s="58"/>
    </row>
    <row r="352" spans="6:7" x14ac:dyDescent="0.25">
      <c r="F352" s="57"/>
      <c r="G352" s="58"/>
    </row>
    <row r="353" spans="6:7" x14ac:dyDescent="0.25">
      <c r="F353" s="57"/>
      <c r="G353" s="58"/>
    </row>
    <row r="354" spans="6:7" x14ac:dyDescent="0.25">
      <c r="F354" s="57"/>
      <c r="G354" s="58"/>
    </row>
    <row r="355" spans="6:7" x14ac:dyDescent="0.25">
      <c r="F355" s="57"/>
      <c r="G355" s="58"/>
    </row>
    <row r="356" spans="6:7" x14ac:dyDescent="0.25">
      <c r="F356" s="57"/>
      <c r="G356" s="58"/>
    </row>
    <row r="357" spans="6:7" x14ac:dyDescent="0.25">
      <c r="F357" s="57"/>
      <c r="G357" s="58"/>
    </row>
    <row r="358" spans="6:7" x14ac:dyDescent="0.25">
      <c r="F358" s="57"/>
      <c r="G358" s="58"/>
    </row>
    <row r="359" spans="6:7" x14ac:dyDescent="0.25">
      <c r="F359" s="57"/>
      <c r="G359" s="58"/>
    </row>
    <row r="360" spans="6:7" x14ac:dyDescent="0.25">
      <c r="F360" s="57"/>
      <c r="G360" s="58"/>
    </row>
    <row r="361" spans="6:7" x14ac:dyDescent="0.25">
      <c r="F361" s="57"/>
      <c r="G361" s="58"/>
    </row>
    <row r="362" spans="6:7" x14ac:dyDescent="0.25">
      <c r="F362" s="57"/>
      <c r="G362" s="58"/>
    </row>
    <row r="363" spans="6:7" x14ac:dyDescent="0.25">
      <c r="F363" s="57"/>
      <c r="G363" s="58"/>
    </row>
    <row r="364" spans="6:7" x14ac:dyDescent="0.25">
      <c r="F364" s="57"/>
      <c r="G364" s="58"/>
    </row>
    <row r="365" spans="6:7" x14ac:dyDescent="0.25">
      <c r="F365" s="57"/>
      <c r="G365" s="58"/>
    </row>
    <row r="366" spans="6:7" x14ac:dyDescent="0.25">
      <c r="F366" s="57"/>
      <c r="G366" s="58"/>
    </row>
    <row r="367" spans="6:7" x14ac:dyDescent="0.25">
      <c r="F367" s="57"/>
      <c r="G367" s="58"/>
    </row>
    <row r="368" spans="6:7" x14ac:dyDescent="0.25">
      <c r="F368" s="57"/>
      <c r="G368" s="58"/>
    </row>
    <row r="369" spans="6:7" x14ac:dyDescent="0.25">
      <c r="F369" s="57"/>
      <c r="G369" s="58"/>
    </row>
    <row r="370" spans="6:7" x14ac:dyDescent="0.25">
      <c r="F370" s="57"/>
      <c r="G370" s="58"/>
    </row>
    <row r="371" spans="6:7" x14ac:dyDescent="0.25">
      <c r="F371" s="57"/>
      <c r="G371" s="58"/>
    </row>
    <row r="372" spans="6:7" x14ac:dyDescent="0.25">
      <c r="F372" s="57"/>
      <c r="G372" s="58"/>
    </row>
    <row r="373" spans="6:7" x14ac:dyDescent="0.25">
      <c r="F373" s="57"/>
      <c r="G373" s="58"/>
    </row>
    <row r="374" spans="6:7" x14ac:dyDescent="0.25">
      <c r="F374" s="57"/>
      <c r="G374" s="58"/>
    </row>
    <row r="375" spans="6:7" x14ac:dyDescent="0.25">
      <c r="F375" s="57"/>
      <c r="G375" s="58"/>
    </row>
    <row r="376" spans="6:7" x14ac:dyDescent="0.25">
      <c r="F376" s="57"/>
      <c r="G376" s="58"/>
    </row>
    <row r="377" spans="6:7" x14ac:dyDescent="0.25">
      <c r="F377" s="57"/>
      <c r="G377" s="58"/>
    </row>
    <row r="378" spans="6:7" x14ac:dyDescent="0.25">
      <c r="F378" s="57"/>
      <c r="G378" s="58"/>
    </row>
    <row r="379" spans="6:7" x14ac:dyDescent="0.25">
      <c r="F379" s="57"/>
      <c r="G379" s="58"/>
    </row>
    <row r="380" spans="6:7" x14ac:dyDescent="0.25">
      <c r="F380" s="57"/>
      <c r="G380" s="58"/>
    </row>
    <row r="381" spans="6:7" x14ac:dyDescent="0.25">
      <c r="F381" s="57"/>
      <c r="G381" s="58"/>
    </row>
    <row r="382" spans="6:7" x14ac:dyDescent="0.25">
      <c r="F382" s="57"/>
      <c r="G382" s="58"/>
    </row>
    <row r="383" spans="6:7" x14ac:dyDescent="0.25">
      <c r="F383" s="57"/>
      <c r="G383" s="58"/>
    </row>
    <row r="384" spans="6:7" x14ac:dyDescent="0.25">
      <c r="F384" s="57"/>
      <c r="G384" s="58"/>
    </row>
    <row r="385" spans="6:7" x14ac:dyDescent="0.25">
      <c r="F385" s="57"/>
      <c r="G385" s="58"/>
    </row>
    <row r="386" spans="6:7" x14ac:dyDescent="0.25">
      <c r="F386" s="57"/>
      <c r="G386" s="58"/>
    </row>
    <row r="387" spans="6:7" x14ac:dyDescent="0.25">
      <c r="F387" s="57"/>
      <c r="G387" s="58"/>
    </row>
    <row r="388" spans="6:7" x14ac:dyDescent="0.25">
      <c r="F388" s="57"/>
      <c r="G388" s="58"/>
    </row>
    <row r="389" spans="6:7" x14ac:dyDescent="0.25">
      <c r="F389" s="57"/>
      <c r="G389" s="58"/>
    </row>
    <row r="390" spans="6:7" x14ac:dyDescent="0.25">
      <c r="F390" s="57"/>
      <c r="G390" s="58"/>
    </row>
    <row r="391" spans="6:7" x14ac:dyDescent="0.25">
      <c r="F391" s="57"/>
      <c r="G391" s="58"/>
    </row>
    <row r="392" spans="6:7" x14ac:dyDescent="0.25">
      <c r="F392" s="57"/>
      <c r="G392" s="58"/>
    </row>
    <row r="393" spans="6:7" x14ac:dyDescent="0.25">
      <c r="F393" s="57"/>
      <c r="G393" s="58"/>
    </row>
    <row r="394" spans="6:7" x14ac:dyDescent="0.25">
      <c r="F394" s="57"/>
      <c r="G394" s="58"/>
    </row>
    <row r="395" spans="6:7" x14ac:dyDescent="0.25">
      <c r="F395" s="57"/>
      <c r="G395" s="58"/>
    </row>
    <row r="396" spans="6:7" x14ac:dyDescent="0.25">
      <c r="F396" s="57"/>
      <c r="G396" s="58"/>
    </row>
    <row r="397" spans="6:7" x14ac:dyDescent="0.25">
      <c r="F397" s="57"/>
      <c r="G397" s="58"/>
    </row>
    <row r="398" spans="6:7" x14ac:dyDescent="0.25">
      <c r="F398" s="57"/>
      <c r="G398" s="58"/>
    </row>
    <row r="399" spans="6:7" x14ac:dyDescent="0.25">
      <c r="F399" s="57"/>
      <c r="G399" s="58"/>
    </row>
    <row r="400" spans="6:7" x14ac:dyDescent="0.25">
      <c r="F400" s="57"/>
      <c r="G400" s="58"/>
    </row>
    <row r="401" spans="6:7" x14ac:dyDescent="0.25">
      <c r="F401" s="57"/>
      <c r="G401" s="58"/>
    </row>
  </sheetData>
  <mergeCells count="21">
    <mergeCell ref="C1:F1"/>
    <mergeCell ref="R3:S3"/>
    <mergeCell ref="T3:U3"/>
    <mergeCell ref="V3:W3"/>
    <mergeCell ref="X3:Y3"/>
    <mergeCell ref="R2:AC2"/>
    <mergeCell ref="Z3:AA3"/>
    <mergeCell ref="AB3:AC3"/>
    <mergeCell ref="P3:Q3"/>
    <mergeCell ref="H3:H4"/>
    <mergeCell ref="M3:N3"/>
    <mergeCell ref="O3:O4"/>
    <mergeCell ref="G3:G4"/>
    <mergeCell ref="K3:L3"/>
    <mergeCell ref="I3:J3"/>
    <mergeCell ref="A3:A4"/>
    <mergeCell ref="C3:C4"/>
    <mergeCell ref="D3:D4"/>
    <mergeCell ref="E3:E4"/>
    <mergeCell ref="F3:F4"/>
    <mergeCell ref="B3:B4"/>
  </mergeCells>
  <pageMargins left="0.7" right="0.7" top="0.75" bottom="0.75" header="0.3" footer="0.3"/>
  <pageSetup scale="3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an_And_Parse_333D01">
                <anchor moveWithCells="1" sizeWithCells="1">
                  <from>
                    <xdr:col>0</xdr:col>
                    <xdr:colOff>333375</xdr:colOff>
                    <xdr:row>0</xdr:row>
                    <xdr:rowOff>209550</xdr:rowOff>
                  </from>
                  <to>
                    <xdr:col>1</xdr:col>
                    <xdr:colOff>295275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62"/>
  <sheetViews>
    <sheetView workbookViewId="0">
      <selection activeCell="D64" sqref="D64"/>
    </sheetView>
  </sheetViews>
  <sheetFormatPr defaultRowHeight="15" x14ac:dyDescent="0.25"/>
  <sheetData>
    <row r="1" spans="1:1" x14ac:dyDescent="0.25">
      <c r="A1" t="s">
        <v>42</v>
      </c>
    </row>
    <row r="2" spans="1:1" x14ac:dyDescent="0.25">
      <c r="A2" t="s">
        <v>43</v>
      </c>
    </row>
    <row r="4" spans="1:1" x14ac:dyDescent="0.25">
      <c r="A4" t="s">
        <v>44</v>
      </c>
    </row>
    <row r="11" spans="1:1" x14ac:dyDescent="0.25">
      <c r="A11" t="s">
        <v>45</v>
      </c>
    </row>
    <row r="29" spans="1:1" x14ac:dyDescent="0.25">
      <c r="A29" t="s">
        <v>46</v>
      </c>
    </row>
    <row r="58" spans="1:1" x14ac:dyDescent="0.25">
      <c r="A58" t="s">
        <v>49</v>
      </c>
    </row>
    <row r="60" spans="1:1" x14ac:dyDescent="0.25">
      <c r="A60" t="s">
        <v>50</v>
      </c>
    </row>
    <row r="61" spans="1:1" x14ac:dyDescent="0.25">
      <c r="A61" t="s">
        <v>47</v>
      </c>
    </row>
    <row r="62" spans="1:1" x14ac:dyDescent="0.25">
      <c r="A62" t="s">
        <v>48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5"/>
  <sheetViews>
    <sheetView zoomScale="115" zoomScaleNormal="115" workbookViewId="0">
      <selection activeCell="A18" sqref="A18"/>
    </sheetView>
  </sheetViews>
  <sheetFormatPr defaultRowHeight="15" x14ac:dyDescent="0.25"/>
  <cols>
    <col min="1" max="1" width="90.28515625" customWidth="1"/>
  </cols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  <row r="5" spans="1:1" ht="30" x14ac:dyDescent="0.25">
      <c r="A5" s="23" t="s">
        <v>34</v>
      </c>
    </row>
    <row r="6" spans="1:1" x14ac:dyDescent="0.25">
      <c r="A6" s="7"/>
    </row>
    <row r="7" spans="1:1" ht="30" x14ac:dyDescent="0.25">
      <c r="A7" s="23" t="s">
        <v>35</v>
      </c>
    </row>
    <row r="8" spans="1:1" x14ac:dyDescent="0.25">
      <c r="A8" s="7"/>
    </row>
    <row r="9" spans="1:1" x14ac:dyDescent="0.25">
      <c r="A9" t="s">
        <v>9</v>
      </c>
    </row>
    <row r="33" spans="1:1" x14ac:dyDescent="0.25">
      <c r="A33" t="s">
        <v>7</v>
      </c>
    </row>
    <row r="58" spans="1:1" ht="45" x14ac:dyDescent="0.25">
      <c r="A58" s="7" t="s">
        <v>8</v>
      </c>
    </row>
    <row r="83" spans="1:1" ht="30" x14ac:dyDescent="0.25">
      <c r="A83" s="7" t="s">
        <v>10</v>
      </c>
    </row>
    <row r="109" spans="1:1" x14ac:dyDescent="0.25">
      <c r="A109" t="s">
        <v>11</v>
      </c>
    </row>
    <row r="110" spans="1:1" x14ac:dyDescent="0.25">
      <c r="A110" t="s">
        <v>12</v>
      </c>
    </row>
    <row r="135" spans="1:1" x14ac:dyDescent="0.25">
      <c r="A135" t="s">
        <v>13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D16" sqref="D16"/>
    </sheetView>
  </sheetViews>
  <sheetFormatPr defaultRowHeight="15" x14ac:dyDescent="0.25"/>
  <cols>
    <col min="2" max="2" width="10" customWidth="1"/>
    <col min="4" max="4" width="83.28515625" customWidth="1"/>
  </cols>
  <sheetData>
    <row r="1" spans="1:4" x14ac:dyDescent="0.25">
      <c r="A1" t="s">
        <v>24</v>
      </c>
      <c r="B1" t="s">
        <v>25</v>
      </c>
      <c r="C1" t="s">
        <v>26</v>
      </c>
      <c r="D1" t="s">
        <v>27</v>
      </c>
    </row>
    <row r="2" spans="1:4" x14ac:dyDescent="0.25">
      <c r="A2" s="21" t="s">
        <v>30</v>
      </c>
      <c r="B2" s="42">
        <v>41919</v>
      </c>
      <c r="C2" t="s">
        <v>28</v>
      </c>
      <c r="D2" t="s">
        <v>29</v>
      </c>
    </row>
    <row r="3" spans="1:4" ht="30" x14ac:dyDescent="0.25">
      <c r="A3" s="22" t="s">
        <v>31</v>
      </c>
      <c r="B3" s="42">
        <v>41921</v>
      </c>
      <c r="C3" t="s">
        <v>32</v>
      </c>
      <c r="D3" s="7" t="s">
        <v>33</v>
      </c>
    </row>
    <row r="4" spans="1:4" x14ac:dyDescent="0.25">
      <c r="A4">
        <v>1.02</v>
      </c>
      <c r="B4" s="42">
        <v>42037</v>
      </c>
      <c r="C4" t="s">
        <v>32</v>
      </c>
      <c r="D4" t="s">
        <v>37</v>
      </c>
    </row>
    <row r="5" spans="1:4" x14ac:dyDescent="0.25">
      <c r="A5">
        <v>1.03</v>
      </c>
      <c r="B5" s="42">
        <v>42160</v>
      </c>
      <c r="C5" t="s">
        <v>32</v>
      </c>
      <c r="D5" t="s">
        <v>41</v>
      </c>
    </row>
    <row r="6" spans="1:4" x14ac:dyDescent="0.25">
      <c r="A6">
        <v>1.04</v>
      </c>
      <c r="B6" s="43">
        <v>42367</v>
      </c>
      <c r="C6" t="s">
        <v>32</v>
      </c>
      <c r="D6" t="s">
        <v>52</v>
      </c>
    </row>
    <row r="7" spans="1:4" x14ac:dyDescent="0.25">
      <c r="A7">
        <v>1.05</v>
      </c>
      <c r="B7" s="43">
        <v>42856</v>
      </c>
      <c r="C7" t="s">
        <v>32</v>
      </c>
      <c r="D7" t="s">
        <v>63</v>
      </c>
    </row>
    <row r="8" spans="1:4" x14ac:dyDescent="0.25">
      <c r="A8">
        <v>1.06</v>
      </c>
      <c r="B8" s="43">
        <v>43348</v>
      </c>
      <c r="C8" t="s">
        <v>32</v>
      </c>
      <c r="D8" t="s">
        <v>64</v>
      </c>
    </row>
    <row r="9" spans="1:4" x14ac:dyDescent="0.25">
      <c r="A9">
        <v>1.07</v>
      </c>
      <c r="B9" s="43">
        <v>43476</v>
      </c>
      <c r="C9" t="s">
        <v>32</v>
      </c>
      <c r="D9" t="s">
        <v>65</v>
      </c>
    </row>
    <row r="10" spans="1:4" x14ac:dyDescent="0.25">
      <c r="A10">
        <v>1.08</v>
      </c>
      <c r="B10" s="43">
        <v>44469</v>
      </c>
      <c r="C10" t="s">
        <v>32</v>
      </c>
      <c r="D10" t="s">
        <v>66</v>
      </c>
    </row>
    <row r="11" spans="1:4" x14ac:dyDescent="0.25">
      <c r="A11">
        <v>1.08</v>
      </c>
      <c r="B11" s="43">
        <v>44819</v>
      </c>
      <c r="C11" t="s">
        <v>32</v>
      </c>
      <c r="D11" t="s">
        <v>68</v>
      </c>
    </row>
  </sheetData>
  <pageMargins left="0.7" right="0.7" top="0.75" bottom="0.75" header="0.3" footer="0.3"/>
  <ignoredErrors>
    <ignoredError sqref="A2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Sensitivity</vt:lpstr>
      <vt:lpstr>SpectraPLUS Instructions</vt:lpstr>
      <vt:lpstr>SignalScope Pro Instructions</vt:lpstr>
      <vt:lpstr>Revision History</vt:lpstr>
      <vt:lpstr>UpdateArea</vt:lpstr>
    </vt:vector>
  </TitlesOfParts>
  <Company>The Modal Shop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Clary</dc:creator>
  <cp:lastModifiedBy>Tom Clary</cp:lastModifiedBy>
  <cp:lastPrinted>2015-12-29T16:50:39Z</cp:lastPrinted>
  <dcterms:created xsi:type="dcterms:W3CDTF">2014-07-10T18:50:29Z</dcterms:created>
  <dcterms:modified xsi:type="dcterms:W3CDTF">2022-09-15T21:46:24Z</dcterms:modified>
</cp:coreProperties>
</file>